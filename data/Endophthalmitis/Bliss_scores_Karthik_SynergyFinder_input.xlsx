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arol\github\TACTIC\data\"/>
    </mc:Choice>
  </mc:AlternateContent>
  <xr:revisionPtr revIDLastSave="0" documentId="13_ncr:1_{195530C0-6855-4B74-8061-1A0C5BA09D74}" xr6:coauthVersionLast="47" xr6:coauthVersionMax="47" xr10:uidLastSave="{00000000-0000-0000-0000-000000000000}"/>
  <bookViews>
    <workbookView xWindow="-108" yWindow="-13068" windowWidth="23256" windowHeight="12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Q3" i="1"/>
  <c r="R3" i="1"/>
  <c r="O4" i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O21" i="1"/>
  <c r="P21" i="1"/>
  <c r="Q21" i="1"/>
  <c r="R21" i="1"/>
  <c r="O22" i="1"/>
  <c r="P22" i="1"/>
  <c r="Q22" i="1"/>
  <c r="R22" i="1"/>
  <c r="O23" i="1"/>
  <c r="P23" i="1"/>
  <c r="Q23" i="1"/>
  <c r="R23" i="1"/>
  <c r="O24" i="1"/>
  <c r="P24" i="1"/>
  <c r="Q24" i="1"/>
  <c r="R24" i="1"/>
  <c r="O25" i="1"/>
  <c r="P25" i="1"/>
  <c r="Q25" i="1"/>
  <c r="R25" i="1"/>
  <c r="O26" i="1"/>
  <c r="P26" i="1"/>
  <c r="Q26" i="1"/>
  <c r="R26" i="1"/>
  <c r="O27" i="1"/>
  <c r="P27" i="1"/>
  <c r="Q27" i="1"/>
  <c r="R27" i="1"/>
  <c r="O28" i="1"/>
  <c r="P28" i="1"/>
  <c r="Q28" i="1"/>
  <c r="R28" i="1"/>
  <c r="O29" i="1"/>
  <c r="P29" i="1"/>
  <c r="Q29" i="1"/>
  <c r="R29" i="1"/>
  <c r="O30" i="1"/>
  <c r="P30" i="1"/>
  <c r="Q30" i="1"/>
  <c r="R30" i="1"/>
  <c r="O31" i="1"/>
  <c r="P31" i="1"/>
  <c r="Q31" i="1"/>
  <c r="R31" i="1"/>
  <c r="O32" i="1"/>
  <c r="P32" i="1"/>
  <c r="Q32" i="1"/>
  <c r="R32" i="1"/>
  <c r="O33" i="1"/>
  <c r="P33" i="1"/>
  <c r="Q33" i="1"/>
  <c r="R33" i="1"/>
  <c r="O34" i="1"/>
  <c r="P34" i="1"/>
  <c r="Q34" i="1"/>
  <c r="R34" i="1"/>
  <c r="O35" i="1"/>
  <c r="P35" i="1"/>
  <c r="Q35" i="1"/>
  <c r="R35" i="1"/>
  <c r="O36" i="1"/>
  <c r="P36" i="1"/>
  <c r="Q36" i="1"/>
  <c r="R36" i="1"/>
  <c r="O37" i="1"/>
  <c r="P37" i="1"/>
  <c r="Q37" i="1"/>
  <c r="R37" i="1"/>
  <c r="O38" i="1"/>
  <c r="P38" i="1"/>
  <c r="Q38" i="1"/>
  <c r="R38" i="1"/>
  <c r="O39" i="1"/>
  <c r="P39" i="1"/>
  <c r="Q39" i="1"/>
  <c r="R39" i="1"/>
  <c r="O40" i="1"/>
  <c r="P40" i="1"/>
  <c r="Q40" i="1"/>
  <c r="R40" i="1"/>
  <c r="O41" i="1"/>
  <c r="P41" i="1"/>
  <c r="Q41" i="1"/>
  <c r="R41" i="1"/>
  <c r="O42" i="1"/>
  <c r="P42" i="1"/>
  <c r="Q42" i="1"/>
  <c r="R42" i="1"/>
  <c r="O43" i="1"/>
  <c r="P43" i="1"/>
  <c r="Q43" i="1"/>
  <c r="R43" i="1"/>
  <c r="O44" i="1"/>
  <c r="P44" i="1"/>
  <c r="Q44" i="1"/>
  <c r="R44" i="1"/>
  <c r="O45" i="1"/>
  <c r="P45" i="1"/>
  <c r="Q45" i="1"/>
  <c r="R45" i="1"/>
  <c r="O46" i="1"/>
  <c r="P46" i="1"/>
  <c r="Q46" i="1"/>
  <c r="R46" i="1"/>
  <c r="O47" i="1"/>
  <c r="P47" i="1"/>
  <c r="Q47" i="1"/>
  <c r="R47" i="1"/>
  <c r="O48" i="1"/>
  <c r="P48" i="1"/>
  <c r="Q48" i="1"/>
  <c r="R48" i="1"/>
  <c r="O49" i="1"/>
  <c r="P49" i="1"/>
  <c r="Q49" i="1"/>
  <c r="R49" i="1"/>
  <c r="O50" i="1"/>
  <c r="P50" i="1"/>
  <c r="Q50" i="1"/>
  <c r="R50" i="1"/>
  <c r="O51" i="1"/>
  <c r="P51" i="1"/>
  <c r="Q51" i="1"/>
  <c r="R51" i="1"/>
  <c r="O52" i="1"/>
  <c r="P52" i="1"/>
  <c r="Q52" i="1"/>
  <c r="R52" i="1"/>
  <c r="O53" i="1"/>
  <c r="P53" i="1"/>
  <c r="Q53" i="1"/>
  <c r="R53" i="1"/>
  <c r="O54" i="1"/>
  <c r="P54" i="1"/>
  <c r="Q54" i="1"/>
  <c r="R54" i="1"/>
  <c r="O55" i="1"/>
  <c r="P55" i="1"/>
  <c r="Q55" i="1"/>
  <c r="R55" i="1"/>
  <c r="O56" i="1"/>
  <c r="P56" i="1"/>
  <c r="Q56" i="1"/>
  <c r="R56" i="1"/>
  <c r="O57" i="1"/>
  <c r="P57" i="1"/>
  <c r="Q57" i="1"/>
  <c r="R57" i="1"/>
  <c r="O58" i="1"/>
  <c r="P58" i="1"/>
  <c r="Q58" i="1"/>
  <c r="R58" i="1"/>
  <c r="O59" i="1"/>
  <c r="P59" i="1"/>
  <c r="Q59" i="1"/>
  <c r="R59" i="1"/>
  <c r="O60" i="1"/>
  <c r="P60" i="1"/>
  <c r="Q60" i="1"/>
  <c r="R60" i="1"/>
  <c r="O61" i="1"/>
  <c r="P61" i="1"/>
  <c r="Q61" i="1"/>
  <c r="R61" i="1"/>
  <c r="O62" i="1"/>
  <c r="P62" i="1"/>
  <c r="Q62" i="1"/>
  <c r="R62" i="1"/>
  <c r="O63" i="1"/>
  <c r="P63" i="1"/>
  <c r="Q63" i="1"/>
  <c r="R63" i="1"/>
  <c r="O64" i="1"/>
  <c r="P64" i="1"/>
  <c r="Q64" i="1"/>
  <c r="R64" i="1"/>
  <c r="O65" i="1"/>
  <c r="P65" i="1"/>
  <c r="Q65" i="1"/>
  <c r="R65" i="1"/>
  <c r="O66" i="1"/>
  <c r="P66" i="1"/>
  <c r="Q66" i="1"/>
  <c r="R66" i="1"/>
  <c r="O67" i="1"/>
  <c r="P67" i="1"/>
  <c r="Q67" i="1"/>
  <c r="R67" i="1"/>
  <c r="O68" i="1"/>
  <c r="P68" i="1"/>
  <c r="Q68" i="1"/>
  <c r="R68" i="1"/>
  <c r="O69" i="1"/>
  <c r="P69" i="1"/>
  <c r="Q69" i="1"/>
  <c r="R69" i="1"/>
  <c r="O70" i="1"/>
  <c r="P70" i="1"/>
  <c r="Q70" i="1"/>
  <c r="R70" i="1"/>
  <c r="O71" i="1"/>
  <c r="P71" i="1"/>
  <c r="Q71" i="1"/>
  <c r="R71" i="1"/>
  <c r="O72" i="1"/>
  <c r="P72" i="1"/>
  <c r="Q72" i="1"/>
  <c r="R72" i="1"/>
  <c r="O73" i="1"/>
  <c r="P73" i="1"/>
  <c r="Q73" i="1"/>
  <c r="R73" i="1"/>
  <c r="O74" i="1"/>
  <c r="P74" i="1"/>
  <c r="Q74" i="1"/>
  <c r="R74" i="1"/>
  <c r="O75" i="1"/>
  <c r="P75" i="1"/>
  <c r="Q75" i="1"/>
  <c r="R75" i="1"/>
  <c r="O76" i="1"/>
  <c r="P76" i="1"/>
  <c r="Q76" i="1"/>
  <c r="R76" i="1"/>
  <c r="O77" i="1"/>
  <c r="P77" i="1"/>
  <c r="Q77" i="1"/>
  <c r="R77" i="1"/>
  <c r="O78" i="1"/>
  <c r="P78" i="1"/>
  <c r="Q78" i="1"/>
  <c r="R78" i="1"/>
  <c r="O79" i="1"/>
  <c r="P79" i="1"/>
  <c r="Q79" i="1"/>
  <c r="R79" i="1"/>
  <c r="O80" i="1"/>
  <c r="P80" i="1"/>
  <c r="Q80" i="1"/>
  <c r="R80" i="1"/>
  <c r="O81" i="1"/>
  <c r="P81" i="1"/>
  <c r="Q81" i="1"/>
  <c r="R81" i="1"/>
  <c r="O82" i="1"/>
  <c r="P82" i="1"/>
  <c r="Q82" i="1"/>
  <c r="R82" i="1"/>
  <c r="O83" i="1"/>
  <c r="P83" i="1"/>
  <c r="Q83" i="1"/>
  <c r="R83" i="1"/>
  <c r="O84" i="1"/>
  <c r="P84" i="1"/>
  <c r="Q84" i="1"/>
  <c r="R84" i="1"/>
  <c r="O85" i="1"/>
  <c r="P85" i="1"/>
  <c r="Q85" i="1"/>
  <c r="R85" i="1"/>
  <c r="O86" i="1"/>
  <c r="P86" i="1"/>
  <c r="Q86" i="1"/>
  <c r="R86" i="1"/>
  <c r="O87" i="1"/>
  <c r="P87" i="1"/>
  <c r="Q87" i="1"/>
  <c r="R87" i="1"/>
  <c r="O88" i="1"/>
  <c r="P88" i="1"/>
  <c r="Q88" i="1"/>
  <c r="R88" i="1"/>
  <c r="O89" i="1"/>
  <c r="P89" i="1"/>
  <c r="Q89" i="1"/>
  <c r="R89" i="1"/>
  <c r="O90" i="1"/>
  <c r="P90" i="1"/>
  <c r="Q90" i="1"/>
  <c r="R90" i="1"/>
  <c r="O91" i="1"/>
  <c r="P91" i="1"/>
  <c r="Q91" i="1"/>
  <c r="R91" i="1"/>
  <c r="O92" i="1"/>
  <c r="P92" i="1"/>
  <c r="Q92" i="1"/>
  <c r="R92" i="1"/>
  <c r="O93" i="1"/>
  <c r="P93" i="1"/>
  <c r="Q93" i="1"/>
  <c r="R93" i="1"/>
  <c r="O94" i="1"/>
  <c r="P94" i="1"/>
  <c r="Q94" i="1"/>
  <c r="R94" i="1"/>
  <c r="O95" i="1"/>
  <c r="P95" i="1"/>
  <c r="Q95" i="1"/>
  <c r="R95" i="1"/>
  <c r="O96" i="1"/>
  <c r="P96" i="1"/>
  <c r="Q96" i="1"/>
  <c r="R96" i="1"/>
  <c r="O97" i="1"/>
  <c r="P97" i="1"/>
  <c r="Q97" i="1"/>
  <c r="R97" i="1"/>
  <c r="O98" i="1"/>
  <c r="P98" i="1"/>
  <c r="Q98" i="1"/>
  <c r="R98" i="1"/>
  <c r="O99" i="1"/>
  <c r="P99" i="1"/>
  <c r="Q99" i="1"/>
  <c r="R99" i="1"/>
  <c r="O100" i="1"/>
  <c r="P100" i="1"/>
  <c r="Q100" i="1"/>
  <c r="R100" i="1"/>
  <c r="O101" i="1"/>
  <c r="P101" i="1"/>
  <c r="Q101" i="1"/>
  <c r="R101" i="1"/>
  <c r="O102" i="1"/>
  <c r="P102" i="1"/>
  <c r="Q102" i="1"/>
  <c r="R102" i="1"/>
  <c r="O103" i="1"/>
  <c r="P103" i="1"/>
  <c r="Q103" i="1"/>
  <c r="R103" i="1"/>
  <c r="O104" i="1"/>
  <c r="P104" i="1"/>
  <c r="Q104" i="1"/>
  <c r="R104" i="1"/>
  <c r="O105" i="1"/>
  <c r="P105" i="1"/>
  <c r="Q105" i="1"/>
  <c r="R105" i="1"/>
  <c r="O106" i="1"/>
  <c r="P106" i="1"/>
  <c r="Q106" i="1"/>
  <c r="R106" i="1"/>
  <c r="O107" i="1"/>
  <c r="P107" i="1"/>
  <c r="Q107" i="1"/>
  <c r="R107" i="1"/>
  <c r="O108" i="1"/>
  <c r="P108" i="1"/>
  <c r="Q108" i="1"/>
  <c r="R108" i="1"/>
  <c r="O109" i="1"/>
  <c r="P109" i="1"/>
  <c r="Q109" i="1"/>
  <c r="R109" i="1"/>
  <c r="O110" i="1"/>
  <c r="P110" i="1"/>
  <c r="Q110" i="1"/>
  <c r="R110" i="1"/>
  <c r="O111" i="1"/>
  <c r="P111" i="1"/>
  <c r="Q111" i="1"/>
  <c r="R111" i="1"/>
  <c r="O112" i="1"/>
  <c r="P112" i="1"/>
  <c r="Q112" i="1"/>
  <c r="R112" i="1"/>
  <c r="O113" i="1"/>
  <c r="P113" i="1"/>
  <c r="Q113" i="1"/>
  <c r="R113" i="1"/>
  <c r="O114" i="1"/>
  <c r="P114" i="1"/>
  <c r="Q114" i="1"/>
  <c r="R114" i="1"/>
  <c r="O115" i="1"/>
  <c r="P115" i="1"/>
  <c r="Q115" i="1"/>
  <c r="R115" i="1"/>
  <c r="O116" i="1"/>
  <c r="P116" i="1"/>
  <c r="Q116" i="1"/>
  <c r="R116" i="1"/>
  <c r="O117" i="1"/>
  <c r="P117" i="1"/>
  <c r="Q117" i="1"/>
  <c r="R117" i="1"/>
  <c r="O118" i="1"/>
  <c r="P118" i="1"/>
  <c r="Q118" i="1"/>
  <c r="R118" i="1"/>
  <c r="O119" i="1"/>
  <c r="P119" i="1"/>
  <c r="Q119" i="1"/>
  <c r="R119" i="1"/>
  <c r="O120" i="1"/>
  <c r="P120" i="1"/>
  <c r="Q120" i="1"/>
  <c r="R120" i="1"/>
  <c r="O121" i="1"/>
  <c r="P121" i="1"/>
  <c r="Q121" i="1"/>
  <c r="R121" i="1"/>
  <c r="O122" i="1"/>
  <c r="P122" i="1"/>
  <c r="Q122" i="1"/>
  <c r="R122" i="1"/>
  <c r="O123" i="1"/>
  <c r="P123" i="1"/>
  <c r="Q123" i="1"/>
  <c r="R123" i="1"/>
  <c r="O124" i="1"/>
  <c r="P124" i="1"/>
  <c r="Q124" i="1"/>
  <c r="R124" i="1"/>
  <c r="O125" i="1"/>
  <c r="P125" i="1"/>
  <c r="Q125" i="1"/>
  <c r="R125" i="1"/>
  <c r="O126" i="1"/>
  <c r="P126" i="1"/>
  <c r="Q126" i="1"/>
  <c r="R126" i="1"/>
  <c r="O127" i="1"/>
  <c r="P127" i="1"/>
  <c r="Q127" i="1"/>
  <c r="R127" i="1"/>
  <c r="O128" i="1"/>
  <c r="P128" i="1"/>
  <c r="Q128" i="1"/>
  <c r="R128" i="1"/>
  <c r="O129" i="1"/>
  <c r="P129" i="1"/>
  <c r="Q129" i="1"/>
  <c r="R129" i="1"/>
  <c r="O130" i="1"/>
  <c r="P130" i="1"/>
  <c r="Q130" i="1"/>
  <c r="R130" i="1"/>
  <c r="O131" i="1"/>
  <c r="P131" i="1"/>
  <c r="Q131" i="1"/>
  <c r="R131" i="1"/>
  <c r="O132" i="1"/>
  <c r="P132" i="1"/>
  <c r="Q132" i="1"/>
  <c r="R132" i="1"/>
  <c r="O133" i="1"/>
  <c r="P133" i="1"/>
  <c r="Q133" i="1"/>
  <c r="R133" i="1"/>
  <c r="O134" i="1"/>
  <c r="P134" i="1"/>
  <c r="Q134" i="1"/>
  <c r="R134" i="1"/>
  <c r="O135" i="1"/>
  <c r="P135" i="1"/>
  <c r="Q135" i="1"/>
  <c r="R135" i="1"/>
  <c r="O136" i="1"/>
  <c r="P136" i="1"/>
  <c r="Q136" i="1"/>
  <c r="R136" i="1"/>
  <c r="O137" i="1"/>
  <c r="P137" i="1"/>
  <c r="Q137" i="1"/>
  <c r="R137" i="1"/>
  <c r="O138" i="1"/>
  <c r="P138" i="1"/>
  <c r="Q138" i="1"/>
  <c r="R138" i="1"/>
  <c r="O139" i="1"/>
  <c r="P139" i="1"/>
  <c r="Q139" i="1"/>
  <c r="R139" i="1"/>
  <c r="O140" i="1"/>
  <c r="P140" i="1"/>
  <c r="Q140" i="1"/>
  <c r="R140" i="1"/>
  <c r="O141" i="1"/>
  <c r="P141" i="1"/>
  <c r="Q141" i="1"/>
  <c r="R141" i="1"/>
  <c r="O142" i="1"/>
  <c r="P142" i="1"/>
  <c r="Q142" i="1"/>
  <c r="R142" i="1"/>
  <c r="O143" i="1"/>
  <c r="P143" i="1"/>
  <c r="Q143" i="1"/>
  <c r="R143" i="1"/>
  <c r="O144" i="1"/>
  <c r="P144" i="1"/>
  <c r="Q144" i="1"/>
  <c r="R144" i="1"/>
  <c r="O145" i="1"/>
  <c r="P145" i="1"/>
  <c r="Q145" i="1"/>
  <c r="R145" i="1"/>
  <c r="O146" i="1"/>
  <c r="P146" i="1"/>
  <c r="Q146" i="1"/>
  <c r="R146" i="1"/>
  <c r="O147" i="1"/>
  <c r="P147" i="1"/>
  <c r="Q147" i="1"/>
  <c r="R147" i="1"/>
  <c r="O148" i="1"/>
  <c r="P148" i="1"/>
  <c r="Q148" i="1"/>
  <c r="R148" i="1"/>
  <c r="O149" i="1"/>
  <c r="P149" i="1"/>
  <c r="Q149" i="1"/>
  <c r="R149" i="1"/>
  <c r="O150" i="1"/>
  <c r="P150" i="1"/>
  <c r="Q150" i="1"/>
  <c r="R150" i="1"/>
  <c r="O151" i="1"/>
  <c r="P151" i="1"/>
  <c r="Q151" i="1"/>
  <c r="R151" i="1"/>
  <c r="O152" i="1"/>
  <c r="P152" i="1"/>
  <c r="Q152" i="1"/>
  <c r="R152" i="1"/>
  <c r="O153" i="1"/>
  <c r="P153" i="1"/>
  <c r="Q153" i="1"/>
  <c r="R153" i="1"/>
  <c r="O154" i="1"/>
  <c r="P154" i="1"/>
  <c r="Q154" i="1"/>
  <c r="R154" i="1"/>
  <c r="O155" i="1"/>
  <c r="P155" i="1"/>
  <c r="Q155" i="1"/>
  <c r="R155" i="1"/>
  <c r="O156" i="1"/>
  <c r="P156" i="1"/>
  <c r="Q156" i="1"/>
  <c r="R156" i="1"/>
  <c r="O157" i="1"/>
  <c r="P157" i="1"/>
  <c r="Q157" i="1"/>
  <c r="R157" i="1"/>
  <c r="O158" i="1"/>
  <c r="P158" i="1"/>
  <c r="Q158" i="1"/>
  <c r="R158" i="1"/>
  <c r="O159" i="1"/>
  <c r="P159" i="1"/>
  <c r="Q159" i="1"/>
  <c r="R159" i="1"/>
  <c r="O160" i="1"/>
  <c r="P160" i="1"/>
  <c r="Q160" i="1"/>
  <c r="R160" i="1"/>
  <c r="O161" i="1"/>
  <c r="P161" i="1"/>
  <c r="Q161" i="1"/>
  <c r="R161" i="1"/>
  <c r="O162" i="1"/>
  <c r="P162" i="1"/>
  <c r="Q162" i="1"/>
  <c r="R162" i="1"/>
  <c r="O163" i="1"/>
  <c r="P163" i="1"/>
  <c r="Q163" i="1"/>
  <c r="R163" i="1"/>
  <c r="O164" i="1"/>
  <c r="P164" i="1"/>
  <c r="Q164" i="1"/>
  <c r="R164" i="1"/>
  <c r="O165" i="1"/>
  <c r="P165" i="1"/>
  <c r="Q165" i="1"/>
  <c r="R165" i="1"/>
  <c r="O166" i="1"/>
  <c r="P166" i="1"/>
  <c r="Q166" i="1"/>
  <c r="R166" i="1"/>
  <c r="O167" i="1"/>
  <c r="P167" i="1"/>
  <c r="Q167" i="1"/>
  <c r="R167" i="1"/>
  <c r="O168" i="1"/>
  <c r="P168" i="1"/>
  <c r="Q168" i="1"/>
  <c r="R168" i="1"/>
  <c r="O169" i="1"/>
  <c r="P169" i="1"/>
  <c r="Q169" i="1"/>
  <c r="R169" i="1"/>
  <c r="O170" i="1"/>
  <c r="P170" i="1"/>
  <c r="Q170" i="1"/>
  <c r="R170" i="1"/>
  <c r="O171" i="1"/>
  <c r="P171" i="1"/>
  <c r="Q171" i="1"/>
  <c r="R171" i="1"/>
  <c r="O172" i="1"/>
  <c r="P172" i="1"/>
  <c r="Q172" i="1"/>
  <c r="R172" i="1"/>
  <c r="O173" i="1"/>
  <c r="P173" i="1"/>
  <c r="Q173" i="1"/>
  <c r="R173" i="1"/>
  <c r="O174" i="1"/>
  <c r="P174" i="1"/>
  <c r="Q174" i="1"/>
  <c r="R174" i="1"/>
  <c r="O175" i="1"/>
  <c r="P175" i="1"/>
  <c r="Q175" i="1"/>
  <c r="R175" i="1"/>
  <c r="O176" i="1"/>
  <c r="P176" i="1"/>
  <c r="Q176" i="1"/>
  <c r="R176" i="1"/>
  <c r="O177" i="1"/>
  <c r="P177" i="1"/>
  <c r="Q177" i="1"/>
  <c r="R177" i="1"/>
  <c r="O178" i="1"/>
  <c r="P178" i="1"/>
  <c r="Q178" i="1"/>
  <c r="R178" i="1"/>
  <c r="O179" i="1"/>
  <c r="P179" i="1"/>
  <c r="Q179" i="1"/>
  <c r="R179" i="1"/>
  <c r="O180" i="1"/>
  <c r="P180" i="1"/>
  <c r="Q180" i="1"/>
  <c r="R180" i="1"/>
  <c r="O181" i="1"/>
  <c r="P181" i="1"/>
  <c r="Q181" i="1"/>
  <c r="R181" i="1"/>
  <c r="O182" i="1"/>
  <c r="P182" i="1"/>
  <c r="Q182" i="1"/>
  <c r="R182" i="1"/>
  <c r="O183" i="1"/>
  <c r="P183" i="1"/>
  <c r="Q183" i="1"/>
  <c r="R183" i="1"/>
  <c r="O184" i="1"/>
  <c r="P184" i="1"/>
  <c r="Q184" i="1"/>
  <c r="R184" i="1"/>
  <c r="O185" i="1"/>
  <c r="P185" i="1"/>
  <c r="Q185" i="1"/>
  <c r="R185" i="1"/>
  <c r="O186" i="1"/>
  <c r="P186" i="1"/>
  <c r="Q186" i="1"/>
  <c r="R186" i="1"/>
  <c r="O187" i="1"/>
  <c r="P187" i="1"/>
  <c r="Q187" i="1"/>
  <c r="R187" i="1"/>
  <c r="O188" i="1"/>
  <c r="P188" i="1"/>
  <c r="Q188" i="1"/>
  <c r="R188" i="1"/>
  <c r="O189" i="1"/>
  <c r="P189" i="1"/>
  <c r="Q189" i="1"/>
  <c r="R189" i="1"/>
  <c r="O190" i="1"/>
  <c r="P190" i="1"/>
  <c r="Q190" i="1"/>
  <c r="R190" i="1"/>
  <c r="O191" i="1"/>
  <c r="P191" i="1"/>
  <c r="Q191" i="1"/>
  <c r="R191" i="1"/>
  <c r="O192" i="1"/>
  <c r="P192" i="1"/>
  <c r="Q192" i="1"/>
  <c r="R192" i="1"/>
  <c r="H3" i="1" a="1"/>
  <c r="H3" i="1" s="1"/>
  <c r="J3" i="1" s="1" a="1"/>
  <c r="J3" i="1" s="1"/>
  <c r="H4" i="1" a="1"/>
  <c r="H4" i="1"/>
  <c r="J4" i="1" s="1" a="1"/>
  <c r="J4" i="1" s="1"/>
  <c r="L4" i="1" a="1"/>
  <c r="L4" i="1" s="1"/>
  <c r="H5" i="1" a="1"/>
  <c r="H5" i="1"/>
  <c r="J5" i="1" s="1" a="1"/>
  <c r="J5" i="1" s="1"/>
  <c r="L5" i="1" a="1"/>
  <c r="L5" i="1" s="1"/>
  <c r="H6" i="1" a="1"/>
  <c r="H6" i="1" s="1"/>
  <c r="J6" i="1" s="1" a="1"/>
  <c r="J6" i="1" s="1"/>
  <c r="H7" i="1" a="1"/>
  <c r="H7" i="1" s="1"/>
  <c r="J7" i="1" s="1" a="1"/>
  <c r="J7" i="1" s="1"/>
  <c r="L7" i="1" a="1"/>
  <c r="L7" i="1"/>
  <c r="H8" i="1" a="1"/>
  <c r="H8" i="1" s="1"/>
  <c r="J8" i="1" s="1" a="1"/>
  <c r="J8" i="1" s="1"/>
  <c r="H9" i="1" a="1"/>
  <c r="H9" i="1"/>
  <c r="J9" i="1" s="1" a="1"/>
  <c r="J9" i="1"/>
  <c r="L9" i="1" a="1"/>
  <c r="L9" i="1" s="1"/>
  <c r="H10" i="1" a="1"/>
  <c r="H10" i="1" s="1"/>
  <c r="J10" i="1" s="1" a="1"/>
  <c r="J10" i="1" s="1"/>
  <c r="H11" i="1" a="1"/>
  <c r="H11" i="1" s="1"/>
  <c r="J11" i="1" a="1"/>
  <c r="J11" i="1" s="1"/>
  <c r="L11" i="1" a="1"/>
  <c r="L11" i="1" s="1"/>
  <c r="H12" i="1" a="1"/>
  <c r="H12" i="1" s="1"/>
  <c r="J12" i="1" s="1" a="1"/>
  <c r="J12" i="1" s="1"/>
  <c r="L12" i="1" a="1"/>
  <c r="L12" i="1" s="1"/>
  <c r="H13" i="1" a="1"/>
  <c r="L13" i="1" s="1" a="1"/>
  <c r="L13" i="1" s="1"/>
  <c r="H13" i="1"/>
  <c r="J13" i="1" a="1"/>
  <c r="J13" i="1" s="1"/>
  <c r="H14" i="1" a="1"/>
  <c r="H14" i="1" s="1"/>
  <c r="J14" i="1" a="1"/>
  <c r="J14" i="1"/>
  <c r="L14" i="1" a="1"/>
  <c r="L14" i="1"/>
  <c r="H15" i="1" a="1"/>
  <c r="H16" i="1" a="1"/>
  <c r="H16" i="1"/>
  <c r="J16" i="1" s="1" a="1"/>
  <c r="J16" i="1" s="1"/>
  <c r="L16" i="1" a="1"/>
  <c r="L16" i="1" s="1"/>
  <c r="H17" i="1" a="1"/>
  <c r="H18" i="1" a="1"/>
  <c r="H18" i="1" s="1"/>
  <c r="J18" i="1" s="1" a="1"/>
  <c r="J18" i="1" s="1"/>
  <c r="L18" i="1" a="1"/>
  <c r="L18" i="1" s="1"/>
  <c r="H19" i="1" a="1"/>
  <c r="H19" i="1" s="1"/>
  <c r="J19" i="1" s="1" a="1"/>
  <c r="J19" i="1" s="1"/>
  <c r="L19" i="1" a="1"/>
  <c r="L19" i="1"/>
  <c r="H20" i="1" a="1"/>
  <c r="H20" i="1"/>
  <c r="J20" i="1" s="1" a="1"/>
  <c r="J20" i="1" s="1"/>
  <c r="L20" i="1" a="1"/>
  <c r="L20" i="1" s="1"/>
  <c r="H21" i="1" a="1"/>
  <c r="H21" i="1" s="1"/>
  <c r="J21" i="1" s="1" a="1"/>
  <c r="J21" i="1" s="1"/>
  <c r="L21" i="1" a="1"/>
  <c r="L21" i="1" s="1"/>
  <c r="H22" i="1" a="1"/>
  <c r="H23" i="1" a="1"/>
  <c r="H23" i="1" s="1"/>
  <c r="J23" i="1" a="1"/>
  <c r="J23" i="1" s="1"/>
  <c r="H24" i="1" a="1"/>
  <c r="H25" i="1" a="1"/>
  <c r="H25" i="1"/>
  <c r="J25" i="1" s="1" a="1"/>
  <c r="J25" i="1"/>
  <c r="L25" i="1" a="1"/>
  <c r="L25" i="1" s="1"/>
  <c r="H26" i="1" a="1"/>
  <c r="H26" i="1" s="1"/>
  <c r="J26" i="1" s="1" a="1"/>
  <c r="J26" i="1" s="1"/>
  <c r="H27" i="1" a="1"/>
  <c r="H27" i="1" s="1"/>
  <c r="J27" i="1" a="1"/>
  <c r="J27" i="1" s="1"/>
  <c r="L27" i="1" a="1"/>
  <c r="L27" i="1" s="1"/>
  <c r="H28" i="1" a="1"/>
  <c r="H28" i="1" s="1"/>
  <c r="J28" i="1" s="1" a="1"/>
  <c r="J28" i="1" s="1"/>
  <c r="L28" i="1" a="1"/>
  <c r="L28" i="1" s="1"/>
  <c r="H29" i="1" a="1"/>
  <c r="L29" i="1" s="1" a="1"/>
  <c r="L29" i="1" s="1"/>
  <c r="H29" i="1"/>
  <c r="J29" i="1" s="1" a="1"/>
  <c r="J29" i="1" s="1"/>
  <c r="H30" i="1" a="1"/>
  <c r="H30" i="1" s="1"/>
  <c r="J30" i="1" a="1"/>
  <c r="J30" i="1"/>
  <c r="L30" i="1" a="1"/>
  <c r="L30" i="1"/>
  <c r="H31" i="1" a="1"/>
  <c r="H32" i="1" a="1"/>
  <c r="H32" i="1"/>
  <c r="J32" i="1" s="1" a="1"/>
  <c r="J32" i="1" s="1"/>
  <c r="L32" i="1" a="1"/>
  <c r="L32" i="1" s="1"/>
  <c r="H33" i="1" a="1"/>
  <c r="H34" i="1" a="1"/>
  <c r="H34" i="1" s="1"/>
  <c r="J34" i="1" s="1" a="1"/>
  <c r="J34" i="1" s="1"/>
  <c r="L34" i="1" a="1"/>
  <c r="L34" i="1" s="1"/>
  <c r="H35" i="1" a="1"/>
  <c r="H35" i="1" s="1"/>
  <c r="J35" i="1" s="1" a="1"/>
  <c r="J35" i="1" s="1"/>
  <c r="L35" i="1" a="1"/>
  <c r="L35" i="1"/>
  <c r="H36" i="1" a="1"/>
  <c r="H36" i="1"/>
  <c r="J36" i="1" a="1"/>
  <c r="J36" i="1" s="1"/>
  <c r="L36" i="1" a="1"/>
  <c r="L36" i="1" s="1"/>
  <c r="H37" i="1" a="1"/>
  <c r="H37" i="1" s="1"/>
  <c r="J37" i="1" s="1" a="1"/>
  <c r="J37" i="1" s="1"/>
  <c r="L37" i="1" a="1"/>
  <c r="L37" i="1" s="1"/>
  <c r="H38" i="1" a="1"/>
  <c r="H39" i="1" a="1"/>
  <c r="H39" i="1" s="1"/>
  <c r="J39" i="1" a="1"/>
  <c r="J39" i="1" s="1"/>
  <c r="H40" i="1" a="1"/>
  <c r="H41" i="1" a="1"/>
  <c r="H41" i="1"/>
  <c r="J41" i="1" s="1" a="1"/>
  <c r="J41" i="1"/>
  <c r="L41" i="1" a="1"/>
  <c r="L41" i="1" s="1"/>
  <c r="H42" i="1" a="1"/>
  <c r="H42" i="1" s="1"/>
  <c r="J42" i="1" s="1" a="1"/>
  <c r="J42" i="1" s="1"/>
  <c r="H43" i="1" a="1"/>
  <c r="H43" i="1" s="1"/>
  <c r="J43" i="1" a="1"/>
  <c r="J43" i="1" s="1"/>
  <c r="L43" i="1" a="1"/>
  <c r="L43" i="1" s="1"/>
  <c r="H44" i="1" a="1"/>
  <c r="H44" i="1" s="1"/>
  <c r="J44" i="1" s="1" a="1"/>
  <c r="J44" i="1" s="1"/>
  <c r="L44" i="1" a="1"/>
  <c r="L44" i="1" s="1"/>
  <c r="H45" i="1" a="1"/>
  <c r="L45" i="1" s="1" a="1"/>
  <c r="L45" i="1" s="1"/>
  <c r="H45" i="1"/>
  <c r="J45" i="1" a="1"/>
  <c r="J45" i="1" s="1"/>
  <c r="H46" i="1" a="1"/>
  <c r="H46" i="1" s="1"/>
  <c r="J46" i="1" a="1"/>
  <c r="J46" i="1"/>
  <c r="L46" i="1" a="1"/>
  <c r="L46" i="1"/>
  <c r="H47" i="1" a="1"/>
  <c r="H48" i="1" a="1"/>
  <c r="H48" i="1"/>
  <c r="J48" i="1" s="1" a="1"/>
  <c r="J48" i="1" s="1"/>
  <c r="L48" i="1" a="1"/>
  <c r="L48" i="1" s="1"/>
  <c r="H49" i="1" a="1"/>
  <c r="H50" i="1" a="1"/>
  <c r="H50" i="1" s="1"/>
  <c r="J50" i="1" s="1" a="1"/>
  <c r="J50" i="1"/>
  <c r="L50" i="1" a="1"/>
  <c r="L50" i="1" s="1"/>
  <c r="H51" i="1" a="1"/>
  <c r="H51" i="1" s="1"/>
  <c r="J51" i="1" s="1" a="1"/>
  <c r="J51" i="1" s="1"/>
  <c r="L51" i="1" a="1"/>
  <c r="L51" i="1"/>
  <c r="H52" i="1" a="1"/>
  <c r="H52" i="1"/>
  <c r="J52" i="1" s="1" a="1"/>
  <c r="J52" i="1" s="1"/>
  <c r="L52" i="1" a="1"/>
  <c r="L52" i="1" s="1"/>
  <c r="H53" i="1" a="1"/>
  <c r="H53" i="1" s="1"/>
  <c r="J53" i="1" s="1" a="1"/>
  <c r="J53" i="1" s="1"/>
  <c r="L53" i="1" a="1"/>
  <c r="L53" i="1" s="1"/>
  <c r="H54" i="1" a="1"/>
  <c r="H55" i="1" a="1"/>
  <c r="H55" i="1" s="1"/>
  <c r="J55" i="1" a="1"/>
  <c r="J55" i="1" s="1"/>
  <c r="H56" i="1" a="1"/>
  <c r="H57" i="1" a="1"/>
  <c r="H57" i="1"/>
  <c r="J57" i="1" s="1" a="1"/>
  <c r="J57" i="1" s="1"/>
  <c r="L57" i="1" a="1"/>
  <c r="L57" i="1" s="1"/>
  <c r="H58" i="1" a="1"/>
  <c r="H58" i="1" s="1"/>
  <c r="J58" i="1" s="1" a="1"/>
  <c r="J58" i="1" s="1"/>
  <c r="L58" i="1" a="1"/>
  <c r="L58" i="1" s="1"/>
  <c r="H59" i="1" a="1"/>
  <c r="H59" i="1" s="1"/>
  <c r="J59" i="1" a="1"/>
  <c r="J59" i="1" s="1"/>
  <c r="L59" i="1" a="1"/>
  <c r="L59" i="1" s="1"/>
  <c r="H60" i="1" a="1"/>
  <c r="H60" i="1" s="1"/>
  <c r="J60" i="1" s="1" a="1"/>
  <c r="J60" i="1" s="1"/>
  <c r="L60" i="1" a="1"/>
  <c r="L60" i="1" s="1"/>
  <c r="H61" i="1" a="1"/>
  <c r="L61" i="1" s="1" a="1"/>
  <c r="L61" i="1" s="1"/>
  <c r="H61" i="1"/>
  <c r="J61" i="1" a="1"/>
  <c r="J61" i="1" s="1"/>
  <c r="H62" i="1" a="1"/>
  <c r="H62" i="1" s="1"/>
  <c r="J62" i="1" a="1"/>
  <c r="J62" i="1" s="1"/>
  <c r="L62" i="1" a="1"/>
  <c r="L62" i="1"/>
  <c r="H63" i="1" a="1"/>
  <c r="H64" i="1" a="1"/>
  <c r="H64" i="1" s="1"/>
  <c r="J64" i="1" s="1" a="1"/>
  <c r="J64" i="1" s="1"/>
  <c r="L64" i="1" a="1"/>
  <c r="L64" i="1" s="1"/>
  <c r="H65" i="1" a="1"/>
  <c r="H66" i="1" a="1"/>
  <c r="H66" i="1" s="1"/>
  <c r="J66" i="1" s="1" a="1"/>
  <c r="J66" i="1"/>
  <c r="L66" i="1" a="1"/>
  <c r="L66" i="1" s="1"/>
  <c r="H67" i="1" a="1"/>
  <c r="H67" i="1" s="1"/>
  <c r="J67" i="1" s="1" a="1"/>
  <c r="J67" i="1" s="1"/>
  <c r="L67" i="1" a="1"/>
  <c r="L67" i="1" s="1"/>
  <c r="H68" i="1" a="1"/>
  <c r="H68" i="1"/>
  <c r="J68" i="1" a="1"/>
  <c r="J68" i="1" s="1"/>
  <c r="L68" i="1" a="1"/>
  <c r="L68" i="1" s="1"/>
  <c r="H69" i="1" a="1"/>
  <c r="H69" i="1" s="1"/>
  <c r="J69" i="1" s="1" a="1"/>
  <c r="J69" i="1" s="1"/>
  <c r="L69" i="1" a="1"/>
  <c r="L69" i="1" s="1"/>
  <c r="H70" i="1" a="1"/>
  <c r="H71" i="1" a="1"/>
  <c r="H72" i="1" a="1"/>
  <c r="H73" i="1" a="1"/>
  <c r="H73" i="1" s="1"/>
  <c r="J73" i="1" s="1" a="1"/>
  <c r="J73" i="1"/>
  <c r="L73" i="1" a="1"/>
  <c r="L73" i="1" s="1"/>
  <c r="H74" i="1" a="1"/>
  <c r="H74" i="1" s="1"/>
  <c r="J74" i="1" s="1" a="1"/>
  <c r="J74" i="1" s="1"/>
  <c r="L74" i="1" a="1"/>
  <c r="L74" i="1" s="1"/>
  <c r="H75" i="1" a="1"/>
  <c r="H75" i="1" s="1"/>
  <c r="J75" i="1" a="1"/>
  <c r="J75" i="1" s="1"/>
  <c r="L75" i="1" a="1"/>
  <c r="L75" i="1" s="1"/>
  <c r="H76" i="1" a="1"/>
  <c r="H76" i="1" s="1"/>
  <c r="J76" i="1" a="1"/>
  <c r="J76" i="1" s="1"/>
  <c r="L76" i="1" a="1"/>
  <c r="L76" i="1" s="1"/>
  <c r="H77" i="1" a="1"/>
  <c r="L77" i="1" s="1" a="1"/>
  <c r="L77" i="1" s="1"/>
  <c r="H77" i="1"/>
  <c r="J77" i="1" a="1"/>
  <c r="J77" i="1" s="1"/>
  <c r="H78" i="1" a="1"/>
  <c r="H78" i="1" s="1"/>
  <c r="J78" i="1" a="1"/>
  <c r="J78" i="1" s="1"/>
  <c r="L78" i="1" a="1"/>
  <c r="L78" i="1"/>
  <c r="H79" i="1" a="1"/>
  <c r="H80" i="1" a="1"/>
  <c r="H80" i="1" s="1"/>
  <c r="J80" i="1" s="1" a="1"/>
  <c r="J80" i="1" s="1"/>
  <c r="H81" i="1" a="1"/>
  <c r="H81" i="1" s="1"/>
  <c r="J81" i="1" s="1" a="1"/>
  <c r="J81" i="1" s="1"/>
  <c r="H82" i="1" a="1"/>
  <c r="H82" i="1" s="1"/>
  <c r="J82" i="1" s="1" a="1"/>
  <c r="J82" i="1" s="1"/>
  <c r="L82" i="1" a="1"/>
  <c r="L82" i="1" s="1"/>
  <c r="H83" i="1" a="1"/>
  <c r="H83" i="1" s="1"/>
  <c r="J83" i="1" s="1" a="1"/>
  <c r="J83" i="1" s="1"/>
  <c r="L83" i="1" a="1"/>
  <c r="L83" i="1" s="1"/>
  <c r="H84" i="1" a="1"/>
  <c r="L84" i="1" s="1" a="1"/>
  <c r="L84" i="1" s="1"/>
  <c r="H84" i="1"/>
  <c r="J84" i="1" a="1"/>
  <c r="J84" i="1" s="1"/>
  <c r="H85" i="1" a="1"/>
  <c r="H85" i="1" s="1"/>
  <c r="J85" i="1" a="1"/>
  <c r="J85" i="1"/>
  <c r="L85" i="1" a="1"/>
  <c r="L85" i="1" s="1"/>
  <c r="H86" i="1" a="1"/>
  <c r="H87" i="1" a="1"/>
  <c r="H87" i="1" s="1"/>
  <c r="J87" i="1" a="1"/>
  <c r="J87" i="1" s="1"/>
  <c r="L87" i="1" a="1"/>
  <c r="L87" i="1"/>
  <c r="H88" i="1" a="1"/>
  <c r="H89" i="1" a="1"/>
  <c r="H89" i="1" s="1"/>
  <c r="J89" i="1" s="1" a="1"/>
  <c r="J89" i="1" s="1"/>
  <c r="H90" i="1" a="1"/>
  <c r="H90" i="1" s="1"/>
  <c r="J90" i="1" s="1" a="1"/>
  <c r="J90" i="1" s="1"/>
  <c r="L90" i="1" a="1"/>
  <c r="L90" i="1"/>
  <c r="H91" i="1" a="1"/>
  <c r="H91" i="1" s="1"/>
  <c r="J91" i="1" s="1" a="1"/>
  <c r="J91" i="1" s="1"/>
  <c r="H92" i="1" a="1"/>
  <c r="H92" i="1" s="1"/>
  <c r="J92" i="1" s="1" a="1"/>
  <c r="J92" i="1" s="1"/>
  <c r="L92" i="1" a="1"/>
  <c r="L92" i="1" s="1"/>
  <c r="H93" i="1" a="1"/>
  <c r="L93" i="1" s="1" a="1"/>
  <c r="L93" i="1" s="1"/>
  <c r="H93" i="1"/>
  <c r="J93" i="1" s="1" a="1"/>
  <c r="J93" i="1" s="1"/>
  <c r="H94" i="1" a="1"/>
  <c r="H94" i="1" s="1"/>
  <c r="J94" i="1" a="1"/>
  <c r="J94" i="1" s="1"/>
  <c r="L94" i="1" a="1"/>
  <c r="L94" i="1"/>
  <c r="H95" i="1" a="1"/>
  <c r="H96" i="1" a="1"/>
  <c r="H96" i="1" s="1"/>
  <c r="J96" i="1" s="1" a="1"/>
  <c r="J96" i="1" s="1"/>
  <c r="H97" i="1" a="1"/>
  <c r="H97" i="1"/>
  <c r="J97" i="1" s="1" a="1"/>
  <c r="J97" i="1" s="1"/>
  <c r="L97" i="1" a="1"/>
  <c r="L97" i="1" s="1"/>
  <c r="H98" i="1" a="1"/>
  <c r="H98" i="1" s="1"/>
  <c r="J98" i="1" a="1"/>
  <c r="J98" i="1" s="1"/>
  <c r="L98" i="1" a="1"/>
  <c r="L98" i="1" s="1"/>
  <c r="H99" i="1" a="1"/>
  <c r="H99" i="1" s="1"/>
  <c r="J99" i="1" s="1" a="1"/>
  <c r="J99" i="1" s="1"/>
  <c r="L99" i="1" a="1"/>
  <c r="L99" i="1"/>
  <c r="H100" i="1" a="1"/>
  <c r="H100" i="1"/>
  <c r="J100" i="1" s="1" a="1"/>
  <c r="J100" i="1" s="1"/>
  <c r="L100" i="1" a="1"/>
  <c r="L100" i="1" s="1"/>
  <c r="H101" i="1" a="1"/>
  <c r="H101" i="1" s="1"/>
  <c r="J101" i="1" a="1"/>
  <c r="J101" i="1"/>
  <c r="L101" i="1" a="1"/>
  <c r="L101" i="1" s="1"/>
  <c r="H102" i="1" a="1"/>
  <c r="H102" i="1" s="1"/>
  <c r="J102" i="1" a="1"/>
  <c r="J102" i="1" s="1"/>
  <c r="L102" i="1" a="1"/>
  <c r="L102" i="1" s="1"/>
  <c r="H103" i="1" a="1"/>
  <c r="H103" i="1" s="1"/>
  <c r="J103" i="1" a="1"/>
  <c r="J103" i="1" s="1"/>
  <c r="L103" i="1" a="1"/>
  <c r="L103" i="1"/>
  <c r="H104" i="1" a="1"/>
  <c r="L104" i="1" s="1" a="1"/>
  <c r="L104" i="1" s="1"/>
  <c r="H104" i="1"/>
  <c r="J104" i="1" s="1" a="1"/>
  <c r="J104" i="1" s="1"/>
  <c r="H105" i="1" a="1"/>
  <c r="H105" i="1" s="1"/>
  <c r="J105" i="1" s="1" a="1"/>
  <c r="J105" i="1" s="1"/>
  <c r="L105" i="1" a="1"/>
  <c r="L105" i="1" s="1"/>
  <c r="H106" i="1" a="1"/>
  <c r="H106" i="1" s="1"/>
  <c r="J106" i="1" a="1"/>
  <c r="J106" i="1" s="1"/>
  <c r="H107" i="1" a="1"/>
  <c r="H107" i="1" s="1"/>
  <c r="J107" i="1" a="1"/>
  <c r="J107" i="1" s="1"/>
  <c r="L107" i="1" a="1"/>
  <c r="L107" i="1"/>
  <c r="H108" i="1" a="1"/>
  <c r="H108" i="1" s="1"/>
  <c r="J108" i="1" a="1"/>
  <c r="J108" i="1" s="1"/>
  <c r="H109" i="1" a="1"/>
  <c r="H109" i="1" s="1"/>
  <c r="J109" i="1" s="1" a="1"/>
  <c r="J109" i="1" s="1"/>
  <c r="L109" i="1" a="1"/>
  <c r="L109" i="1" s="1"/>
  <c r="H110" i="1" a="1"/>
  <c r="H110" i="1" s="1"/>
  <c r="J110" i="1" a="1"/>
  <c r="J110" i="1" s="1"/>
  <c r="L110" i="1" a="1"/>
  <c r="L110" i="1" s="1"/>
  <c r="H111" i="1" a="1"/>
  <c r="H111" i="1" s="1"/>
  <c r="J111" i="1" a="1"/>
  <c r="J111" i="1" s="1"/>
  <c r="L111" i="1" a="1"/>
  <c r="L111" i="1" s="1"/>
  <c r="H112" i="1" a="1"/>
  <c r="H112" i="1"/>
  <c r="J112" i="1" s="1" a="1"/>
  <c r="J112" i="1" s="1"/>
  <c r="L112" i="1" a="1"/>
  <c r="L112" i="1" s="1"/>
  <c r="H113" i="1" a="1"/>
  <c r="H113" i="1"/>
  <c r="J113" i="1" a="1"/>
  <c r="J113" i="1" s="1"/>
  <c r="L113" i="1" a="1"/>
  <c r="L113" i="1" s="1"/>
  <c r="H114" i="1" a="1"/>
  <c r="H114" i="1" s="1"/>
  <c r="J114" i="1" a="1"/>
  <c r="J114" i="1" s="1"/>
  <c r="L114" i="1" a="1"/>
  <c r="L114" i="1" s="1"/>
  <c r="H115" i="1" a="1"/>
  <c r="H115" i="1" s="1"/>
  <c r="J115" i="1" s="1" a="1"/>
  <c r="J115" i="1" s="1"/>
  <c r="L115" i="1" a="1"/>
  <c r="L115" i="1"/>
  <c r="H116" i="1" a="1"/>
  <c r="L116" i="1" s="1" a="1"/>
  <c r="L116" i="1" s="1"/>
  <c r="H116" i="1"/>
  <c r="J116" i="1" s="1" a="1"/>
  <c r="J116" i="1" s="1"/>
  <c r="H117" i="1" a="1"/>
  <c r="L117" i="1" s="1" a="1"/>
  <c r="L117" i="1" s="1"/>
  <c r="H117" i="1"/>
  <c r="J117" i="1" a="1"/>
  <c r="J117" i="1" s="1"/>
  <c r="H118" i="1" a="1"/>
  <c r="H118" i="1" s="1"/>
  <c r="J118" i="1" s="1" a="1"/>
  <c r="J118" i="1" s="1"/>
  <c r="L118" i="1" a="1"/>
  <c r="L118" i="1"/>
  <c r="H119" i="1" a="1"/>
  <c r="H119" i="1"/>
  <c r="J119" i="1" s="1" a="1"/>
  <c r="J119" i="1" s="1"/>
  <c r="L119" i="1" a="1"/>
  <c r="L119" i="1" s="1"/>
  <c r="H120" i="1" a="1"/>
  <c r="L120" i="1" s="1" a="1"/>
  <c r="L120" i="1" s="1"/>
  <c r="H120" i="1"/>
  <c r="J120" i="1" a="1"/>
  <c r="J120" i="1" s="1"/>
  <c r="H121" i="1" a="1"/>
  <c r="H121" i="1"/>
  <c r="J121" i="1" s="1" a="1"/>
  <c r="J121" i="1" s="1"/>
  <c r="L121" i="1" a="1"/>
  <c r="L121" i="1"/>
  <c r="H122" i="1" a="1"/>
  <c r="H122" i="1" s="1"/>
  <c r="J122" i="1" a="1"/>
  <c r="J122" i="1" s="1"/>
  <c r="L122" i="1" a="1"/>
  <c r="L122" i="1" s="1"/>
  <c r="H123" i="1" a="1"/>
  <c r="L123" i="1" s="1" a="1"/>
  <c r="L123" i="1" s="1"/>
  <c r="H123" i="1"/>
  <c r="J123" i="1" a="1"/>
  <c r="J123" i="1" s="1"/>
  <c r="H124" i="1" a="1"/>
  <c r="H124" i="1"/>
  <c r="J124" i="1" s="1" a="1"/>
  <c r="J124" i="1" s="1"/>
  <c r="L124" i="1" a="1"/>
  <c r="L124" i="1" s="1"/>
  <c r="H125" i="1" a="1"/>
  <c r="H125" i="1" s="1"/>
  <c r="J125" i="1" s="1" a="1"/>
  <c r="J125" i="1" s="1"/>
  <c r="H126" i="1" a="1"/>
  <c r="H126" i="1" s="1"/>
  <c r="J126" i="1" a="1"/>
  <c r="J126" i="1"/>
  <c r="H127" i="1" a="1"/>
  <c r="H127" i="1"/>
  <c r="J127" i="1" s="1" a="1"/>
  <c r="J127" i="1" s="1"/>
  <c r="L127" i="1" a="1"/>
  <c r="L127" i="1"/>
  <c r="H128" i="1" a="1"/>
  <c r="H128" i="1" s="1"/>
  <c r="J128" i="1" s="1" a="1"/>
  <c r="J128" i="1" s="1"/>
  <c r="H129" i="1" a="1"/>
  <c r="H129" i="1"/>
  <c r="J129" i="1" a="1"/>
  <c r="J129" i="1"/>
  <c r="L129" i="1" a="1"/>
  <c r="L129" i="1"/>
  <c r="H130" i="1" a="1"/>
  <c r="H130" i="1" s="1"/>
  <c r="J130" i="1" a="1"/>
  <c r="J130" i="1" s="1"/>
  <c r="L130" i="1" a="1"/>
  <c r="L130" i="1"/>
  <c r="H131" i="1" a="1"/>
  <c r="H131" i="1" s="1"/>
  <c r="J131" i="1" s="1" a="1"/>
  <c r="J131" i="1" s="1"/>
  <c r="H132" i="1" a="1"/>
  <c r="H132" i="1"/>
  <c r="J132" i="1" a="1"/>
  <c r="J132" i="1"/>
  <c r="L132" i="1" a="1"/>
  <c r="L132" i="1" s="1"/>
  <c r="H133" i="1" a="1"/>
  <c r="H133" i="1" s="1"/>
  <c r="J133" i="1" s="1" a="1"/>
  <c r="J133" i="1" s="1"/>
  <c r="L133" i="1" a="1"/>
  <c r="L133" i="1"/>
  <c r="H134" i="1" a="1"/>
  <c r="H134" i="1" s="1"/>
  <c r="J134" i="1" s="1" a="1"/>
  <c r="J134" i="1" s="1"/>
  <c r="H135" i="1" a="1"/>
  <c r="H135" i="1"/>
  <c r="J135" i="1" a="1"/>
  <c r="J135" i="1" s="1"/>
  <c r="L135" i="1" a="1"/>
  <c r="L135" i="1" s="1"/>
  <c r="H136" i="1" a="1"/>
  <c r="H136" i="1" s="1"/>
  <c r="J136" i="1" s="1" a="1"/>
  <c r="J136" i="1" s="1"/>
  <c r="L136" i="1" a="1"/>
  <c r="L136" i="1" s="1"/>
  <c r="H137" i="1" a="1"/>
  <c r="L137" i="1" s="1" a="1"/>
  <c r="L137" i="1" s="1"/>
  <c r="H137" i="1"/>
  <c r="J137" i="1" s="1" a="1"/>
  <c r="J137" i="1" s="1"/>
  <c r="H138" i="1" a="1"/>
  <c r="H138" i="1" s="1"/>
  <c r="J138" i="1" a="1"/>
  <c r="J138" i="1"/>
  <c r="L138" i="1" a="1"/>
  <c r="L138" i="1" s="1"/>
  <c r="H139" i="1" a="1"/>
  <c r="H139" i="1" s="1"/>
  <c r="J139" i="1" s="1" a="1"/>
  <c r="J139" i="1" s="1"/>
  <c r="H140" i="1" a="1"/>
  <c r="L140" i="1" s="1" a="1"/>
  <c r="L140" i="1" s="1"/>
  <c r="H140" i="1"/>
  <c r="J140" i="1" s="1" a="1"/>
  <c r="J140" i="1" s="1"/>
  <c r="H141" i="1" a="1"/>
  <c r="H141" i="1" s="1"/>
  <c r="J141" i="1" s="1" a="1"/>
  <c r="J141" i="1" s="1"/>
  <c r="L141" i="1" a="1"/>
  <c r="L141" i="1" s="1"/>
  <c r="H142" i="1" a="1"/>
  <c r="H142" i="1" s="1"/>
  <c r="J142" i="1" s="1" a="1"/>
  <c r="J142" i="1" s="1"/>
  <c r="H143" i="1" a="1"/>
  <c r="L143" i="1" s="1" a="1"/>
  <c r="L143" i="1" s="1"/>
  <c r="H143" i="1"/>
  <c r="J143" i="1" s="1" a="1"/>
  <c r="J143" i="1" s="1"/>
  <c r="H144" i="1" a="1"/>
  <c r="H144" i="1" s="1"/>
  <c r="J144" i="1" s="1" a="1"/>
  <c r="J144" i="1" s="1"/>
  <c r="L144" i="1" a="1"/>
  <c r="L144" i="1" s="1"/>
  <c r="H145" i="1" a="1"/>
  <c r="L145" i="1" s="1" a="1"/>
  <c r="L145" i="1" s="1"/>
  <c r="H145" i="1"/>
  <c r="J145" i="1" s="1" a="1"/>
  <c r="J145" i="1" s="1"/>
  <c r="H146" i="1" a="1"/>
  <c r="H146" i="1" s="1"/>
  <c r="J146" i="1" a="1"/>
  <c r="J146" i="1" s="1"/>
  <c r="H147" i="1" a="1"/>
  <c r="H147" i="1" s="1"/>
  <c r="J147" i="1" s="1" a="1"/>
  <c r="J147" i="1" s="1"/>
  <c r="L147" i="1" a="1"/>
  <c r="L147" i="1"/>
  <c r="H148" i="1" a="1"/>
  <c r="L148" i="1" s="1" a="1"/>
  <c r="L148" i="1" s="1"/>
  <c r="H148" i="1"/>
  <c r="J148" i="1" s="1" a="1"/>
  <c r="J148" i="1" s="1"/>
  <c r="H149" i="1" a="1"/>
  <c r="L149" i="1" s="1" a="1"/>
  <c r="L149" i="1" s="1"/>
  <c r="H149" i="1"/>
  <c r="J149" i="1" a="1"/>
  <c r="J149" i="1" s="1"/>
  <c r="H150" i="1" a="1"/>
  <c r="H150" i="1" s="1"/>
  <c r="J150" i="1" s="1" a="1"/>
  <c r="J150" i="1" s="1"/>
  <c r="L150" i="1" a="1"/>
  <c r="L150" i="1"/>
  <c r="H151" i="1" a="1"/>
  <c r="H151" i="1"/>
  <c r="J151" i="1" s="1" a="1"/>
  <c r="J151" i="1" s="1"/>
  <c r="L151" i="1" a="1"/>
  <c r="L151" i="1" s="1"/>
  <c r="H152" i="1" a="1"/>
  <c r="L152" i="1" s="1" a="1"/>
  <c r="L152" i="1" s="1"/>
  <c r="H152" i="1"/>
  <c r="J152" i="1" a="1"/>
  <c r="J152" i="1" s="1"/>
  <c r="H153" i="1" a="1"/>
  <c r="H153" i="1"/>
  <c r="J153" i="1" s="1" a="1"/>
  <c r="J153" i="1" s="1"/>
  <c r="L153" i="1" a="1"/>
  <c r="L153" i="1"/>
  <c r="H154" i="1" a="1"/>
  <c r="H154" i="1" s="1"/>
  <c r="J154" i="1" a="1"/>
  <c r="J154" i="1" s="1"/>
  <c r="L154" i="1" a="1"/>
  <c r="L154" i="1" s="1"/>
  <c r="H155" i="1" a="1"/>
  <c r="L155" i="1" s="1" a="1"/>
  <c r="L155" i="1" s="1"/>
  <c r="H155" i="1"/>
  <c r="J155" i="1" a="1"/>
  <c r="J155" i="1" s="1"/>
  <c r="H156" i="1" a="1"/>
  <c r="H156" i="1"/>
  <c r="J156" i="1" s="1" a="1"/>
  <c r="J156" i="1" s="1"/>
  <c r="L156" i="1" a="1"/>
  <c r="L156" i="1"/>
  <c r="H157" i="1" a="1"/>
  <c r="L157" i="1" s="1" a="1"/>
  <c r="L157" i="1" s="1"/>
  <c r="H157" i="1"/>
  <c r="J157" i="1" s="1" a="1"/>
  <c r="J157" i="1" s="1"/>
  <c r="H158" i="1" a="1"/>
  <c r="L158" i="1" s="1" a="1"/>
  <c r="L158" i="1" s="1"/>
  <c r="H158" i="1"/>
  <c r="J158" i="1" s="1" a="1"/>
  <c r="J158" i="1" s="1"/>
  <c r="H159" i="1" a="1"/>
  <c r="H159" i="1"/>
  <c r="J159" i="1" a="1"/>
  <c r="J159" i="1"/>
  <c r="L159" i="1" a="1"/>
  <c r="L159" i="1"/>
  <c r="H160" i="1" a="1"/>
  <c r="H160" i="1"/>
  <c r="J160" i="1" s="1" a="1"/>
  <c r="J160" i="1" s="1"/>
  <c r="L160" i="1" a="1"/>
  <c r="L160" i="1"/>
  <c r="H161" i="1" a="1"/>
  <c r="L161" i="1" s="1" a="1"/>
  <c r="L161" i="1" s="1"/>
  <c r="H161" i="1"/>
  <c r="J161" i="1" s="1" a="1"/>
  <c r="J161" i="1" s="1"/>
  <c r="H162" i="1" a="1"/>
  <c r="L162" i="1" s="1" a="1"/>
  <c r="L162" i="1" s="1"/>
  <c r="H162" i="1"/>
  <c r="J162" i="1" s="1" a="1"/>
  <c r="J162" i="1" s="1"/>
  <c r="H163" i="1" a="1"/>
  <c r="H163" i="1"/>
  <c r="J163" i="1" a="1"/>
  <c r="J163" i="1"/>
  <c r="L163" i="1" a="1"/>
  <c r="L163" i="1"/>
  <c r="H164" i="1" a="1"/>
  <c r="H164" i="1"/>
  <c r="J164" i="1" s="1" a="1"/>
  <c r="J164" i="1" s="1"/>
  <c r="L164" i="1" a="1"/>
  <c r="L164" i="1"/>
  <c r="H165" i="1" a="1"/>
  <c r="L165" i="1" s="1" a="1"/>
  <c r="L165" i="1" s="1"/>
  <c r="H165" i="1"/>
  <c r="J165" i="1" s="1" a="1"/>
  <c r="J165" i="1" s="1"/>
  <c r="H166" i="1" a="1"/>
  <c r="L166" i="1" s="1" a="1"/>
  <c r="L166" i="1" s="1"/>
  <c r="H166" i="1"/>
  <c r="J166" i="1" s="1" a="1"/>
  <c r="J166" i="1" s="1"/>
  <c r="H167" i="1" a="1"/>
  <c r="H167" i="1"/>
  <c r="J167" i="1" a="1"/>
  <c r="J167" i="1"/>
  <c r="L167" i="1" a="1"/>
  <c r="L167" i="1"/>
  <c r="H168" i="1" a="1"/>
  <c r="H168" i="1"/>
  <c r="J168" i="1" s="1" a="1"/>
  <c r="J168" i="1" s="1"/>
  <c r="L168" i="1" a="1"/>
  <c r="L168" i="1"/>
  <c r="H169" i="1" a="1"/>
  <c r="L169" i="1" s="1" a="1"/>
  <c r="L169" i="1" s="1"/>
  <c r="H169" i="1"/>
  <c r="J169" i="1" s="1" a="1"/>
  <c r="J169" i="1" s="1"/>
  <c r="H170" i="1" a="1"/>
  <c r="L170" i="1" s="1" a="1"/>
  <c r="L170" i="1" s="1"/>
  <c r="H170" i="1"/>
  <c r="J170" i="1" s="1" a="1"/>
  <c r="J170" i="1" s="1"/>
  <c r="H171" i="1" a="1"/>
  <c r="H171" i="1"/>
  <c r="J171" i="1" a="1"/>
  <c r="J171" i="1"/>
  <c r="L171" i="1" a="1"/>
  <c r="L171" i="1"/>
  <c r="H172" i="1" a="1"/>
  <c r="H172" i="1"/>
  <c r="J172" i="1" s="1" a="1"/>
  <c r="J172" i="1" s="1"/>
  <c r="L172" i="1" a="1"/>
  <c r="L172" i="1"/>
  <c r="H173" i="1" a="1"/>
  <c r="L173" i="1" s="1" a="1"/>
  <c r="L173" i="1" s="1"/>
  <c r="H173" i="1"/>
  <c r="J173" i="1" s="1" a="1"/>
  <c r="J173" i="1" s="1"/>
  <c r="H174" i="1" a="1"/>
  <c r="L174" i="1" s="1" a="1"/>
  <c r="L174" i="1" s="1"/>
  <c r="H174" i="1"/>
  <c r="J174" i="1" s="1" a="1"/>
  <c r="J174" i="1" s="1"/>
  <c r="H175" i="1" a="1"/>
  <c r="H175" i="1"/>
  <c r="J175" i="1" a="1"/>
  <c r="J175" i="1"/>
  <c r="L175" i="1" a="1"/>
  <c r="L175" i="1"/>
  <c r="H176" i="1" a="1"/>
  <c r="H176" i="1"/>
  <c r="J176" i="1" s="1" a="1"/>
  <c r="J176" i="1" s="1"/>
  <c r="L176" i="1" a="1"/>
  <c r="L176" i="1"/>
  <c r="H177" i="1" a="1"/>
  <c r="L177" i="1" s="1" a="1"/>
  <c r="L177" i="1" s="1"/>
  <c r="H177" i="1"/>
  <c r="J177" i="1" s="1" a="1"/>
  <c r="J177" i="1" s="1"/>
  <c r="H178" i="1" a="1"/>
  <c r="L178" i="1" s="1" a="1"/>
  <c r="L178" i="1" s="1"/>
  <c r="H178" i="1"/>
  <c r="J178" i="1" s="1" a="1"/>
  <c r="J178" i="1" s="1"/>
  <c r="H179" i="1" a="1"/>
  <c r="H179" i="1"/>
  <c r="J179" i="1" a="1"/>
  <c r="J179" i="1"/>
  <c r="L179" i="1" a="1"/>
  <c r="L179" i="1"/>
  <c r="H180" i="1" a="1"/>
  <c r="H180" i="1"/>
  <c r="J180" i="1" s="1" a="1"/>
  <c r="J180" i="1" s="1"/>
  <c r="L180" i="1" a="1"/>
  <c r="L180" i="1"/>
  <c r="H181" i="1" a="1"/>
  <c r="L181" i="1" s="1" a="1"/>
  <c r="L181" i="1" s="1"/>
  <c r="H181" i="1"/>
  <c r="J181" i="1" s="1" a="1"/>
  <c r="J181" i="1" s="1"/>
  <c r="H182" i="1" a="1"/>
  <c r="L182" i="1" s="1" a="1"/>
  <c r="L182" i="1" s="1"/>
  <c r="H182" i="1"/>
  <c r="J182" i="1" s="1" a="1"/>
  <c r="J182" i="1" s="1"/>
  <c r="H183" i="1" a="1"/>
  <c r="H183" i="1"/>
  <c r="J183" i="1" a="1"/>
  <c r="J183" i="1"/>
  <c r="L183" i="1" a="1"/>
  <c r="L183" i="1"/>
  <c r="H184" i="1" a="1"/>
  <c r="H184" i="1"/>
  <c r="J184" i="1" s="1" a="1"/>
  <c r="J184" i="1" s="1"/>
  <c r="L184" i="1" a="1"/>
  <c r="L184" i="1"/>
  <c r="H185" i="1" a="1"/>
  <c r="L185" i="1" s="1" a="1"/>
  <c r="L185" i="1" s="1"/>
  <c r="H185" i="1"/>
  <c r="J185" i="1" s="1" a="1"/>
  <c r="J185" i="1" s="1"/>
  <c r="H186" i="1" a="1"/>
  <c r="L186" i="1" s="1" a="1"/>
  <c r="L186" i="1" s="1"/>
  <c r="H186" i="1"/>
  <c r="J186" i="1" s="1" a="1"/>
  <c r="J186" i="1" s="1"/>
  <c r="H187" i="1" a="1"/>
  <c r="H187" i="1"/>
  <c r="J187" i="1" a="1"/>
  <c r="J187" i="1"/>
  <c r="L187" i="1" a="1"/>
  <c r="L187" i="1"/>
  <c r="H188" i="1" a="1"/>
  <c r="H188" i="1"/>
  <c r="J188" i="1" s="1" a="1"/>
  <c r="J188" i="1" s="1"/>
  <c r="L188" i="1" a="1"/>
  <c r="L188" i="1"/>
  <c r="H189" i="1" a="1"/>
  <c r="L189" i="1" s="1" a="1"/>
  <c r="L189" i="1" s="1"/>
  <c r="H189" i="1"/>
  <c r="J189" i="1" s="1" a="1"/>
  <c r="J189" i="1" s="1"/>
  <c r="H190" i="1" a="1"/>
  <c r="L190" i="1" s="1" a="1"/>
  <c r="L190" i="1" s="1"/>
  <c r="H190" i="1"/>
  <c r="J190" i="1" s="1" a="1"/>
  <c r="J190" i="1" s="1"/>
  <c r="H191" i="1" a="1"/>
  <c r="H191" i="1"/>
  <c r="J191" i="1" a="1"/>
  <c r="J191" i="1"/>
  <c r="L191" i="1" a="1"/>
  <c r="L191" i="1"/>
  <c r="H192" i="1" a="1"/>
  <c r="H192" i="1" s="1"/>
  <c r="J192" i="1" s="1" a="1"/>
  <c r="J192" i="1" s="1"/>
  <c r="L192" i="1" a="1"/>
  <c r="L192" i="1"/>
  <c r="R2" i="1"/>
  <c r="Q2" i="1"/>
  <c r="P2" i="1"/>
  <c r="O2" i="1"/>
  <c r="L2" i="1" a="1"/>
  <c r="L2" i="1" s="1"/>
  <c r="J2" i="1" a="1"/>
  <c r="J2" i="1" s="1"/>
  <c r="H2" i="1" a="1"/>
  <c r="H2" i="1" s="1"/>
  <c r="H38" i="1" l="1"/>
  <c r="J38" i="1" s="1" a="1"/>
  <c r="J38" i="1" s="1"/>
  <c r="L38" i="1" a="1"/>
  <c r="L38" i="1" s="1"/>
  <c r="H31" i="1"/>
  <c r="J31" i="1" s="1" a="1"/>
  <c r="J31" i="1" s="1"/>
  <c r="L31" i="1" a="1"/>
  <c r="L31" i="1" s="1"/>
  <c r="H56" i="1"/>
  <c r="J56" i="1" s="1" a="1"/>
  <c r="J56" i="1" s="1"/>
  <c r="L56" i="1" a="1"/>
  <c r="L56" i="1" s="1"/>
  <c r="H15" i="1"/>
  <c r="J15" i="1" s="1" a="1"/>
  <c r="J15" i="1" s="1"/>
  <c r="L15" i="1" a="1"/>
  <c r="L15" i="1" s="1"/>
  <c r="H95" i="1"/>
  <c r="J95" i="1" s="1" a="1"/>
  <c r="J95" i="1" s="1"/>
  <c r="L95" i="1" a="1"/>
  <c r="L95" i="1" s="1"/>
  <c r="H47" i="1"/>
  <c r="J47" i="1" s="1" a="1"/>
  <c r="J47" i="1" s="1"/>
  <c r="L47" i="1" a="1"/>
  <c r="L47" i="1" s="1"/>
  <c r="H79" i="1"/>
  <c r="J79" i="1" s="1" a="1"/>
  <c r="J79" i="1" s="1"/>
  <c r="L79" i="1" a="1"/>
  <c r="L79" i="1" s="1"/>
  <c r="L142" i="1" a="1"/>
  <c r="L142" i="1" s="1"/>
  <c r="L139" i="1" a="1"/>
  <c r="L139" i="1" s="1"/>
  <c r="L96" i="1" a="1"/>
  <c r="L96" i="1" s="1"/>
  <c r="H40" i="1"/>
  <c r="J40" i="1" s="1" a="1"/>
  <c r="J40" i="1" s="1"/>
  <c r="L40" i="1" a="1"/>
  <c r="L40" i="1" s="1"/>
  <c r="H22" i="1"/>
  <c r="J22" i="1" s="1" a="1"/>
  <c r="J22" i="1" s="1"/>
  <c r="L22" i="1" a="1"/>
  <c r="L22" i="1" s="1"/>
  <c r="L128" i="1" a="1"/>
  <c r="L128" i="1" s="1"/>
  <c r="L125" i="1" a="1"/>
  <c r="L125" i="1" s="1"/>
  <c r="L89" i="1" a="1"/>
  <c r="L89" i="1" s="1"/>
  <c r="H72" i="1"/>
  <c r="J72" i="1" s="1" a="1"/>
  <c r="J72" i="1" s="1"/>
  <c r="L72" i="1" a="1"/>
  <c r="L72" i="1" s="1"/>
  <c r="H65" i="1"/>
  <c r="J65" i="1" s="1" a="1"/>
  <c r="J65" i="1" s="1"/>
  <c r="L65" i="1" a="1"/>
  <c r="L65" i="1" s="1"/>
  <c r="H49" i="1"/>
  <c r="J49" i="1" s="1" a="1"/>
  <c r="J49" i="1" s="1"/>
  <c r="L49" i="1" a="1"/>
  <c r="L49" i="1" s="1"/>
  <c r="H24" i="1"/>
  <c r="J24" i="1" s="1" a="1"/>
  <c r="J24" i="1" s="1"/>
  <c r="L24" i="1" a="1"/>
  <c r="L24" i="1" s="1"/>
  <c r="L134" i="1" a="1"/>
  <c r="L134" i="1" s="1"/>
  <c r="L131" i="1" a="1"/>
  <c r="L131" i="1" s="1"/>
  <c r="L108" i="1" a="1"/>
  <c r="L108" i="1" s="1"/>
  <c r="L106" i="1" a="1"/>
  <c r="L106" i="1" s="1"/>
  <c r="L81" i="1" a="1"/>
  <c r="L81" i="1" s="1"/>
  <c r="H33" i="1"/>
  <c r="J33" i="1" s="1" a="1"/>
  <c r="J33" i="1" s="1"/>
  <c r="L33" i="1" a="1"/>
  <c r="L33" i="1" s="1"/>
  <c r="H70" i="1"/>
  <c r="J70" i="1" s="1" a="1"/>
  <c r="J70" i="1" s="1"/>
  <c r="L70" i="1" a="1"/>
  <c r="L70" i="1" s="1"/>
  <c r="H88" i="1"/>
  <c r="J88" i="1" s="1" a="1"/>
  <c r="J88" i="1" s="1"/>
  <c r="L88" i="1" a="1"/>
  <c r="L88" i="1" s="1"/>
  <c r="L146" i="1" a="1"/>
  <c r="L146" i="1" s="1"/>
  <c r="L91" i="1" a="1"/>
  <c r="L91" i="1" s="1"/>
  <c r="H71" i="1"/>
  <c r="J71" i="1" s="1" a="1"/>
  <c r="J71" i="1" s="1"/>
  <c r="L71" i="1" a="1"/>
  <c r="L71" i="1" s="1"/>
  <c r="H17" i="1"/>
  <c r="J17" i="1" s="1" a="1"/>
  <c r="J17" i="1" s="1"/>
  <c r="L17" i="1" a="1"/>
  <c r="L17" i="1" s="1"/>
  <c r="L126" i="1" a="1"/>
  <c r="L126" i="1" s="1"/>
  <c r="H86" i="1"/>
  <c r="J86" i="1" s="1" a="1"/>
  <c r="J86" i="1" s="1"/>
  <c r="L86" i="1" a="1"/>
  <c r="L86" i="1" s="1"/>
  <c r="L80" i="1" a="1"/>
  <c r="L80" i="1" s="1"/>
  <c r="H63" i="1"/>
  <c r="J63" i="1" s="1" a="1"/>
  <c r="J63" i="1" s="1"/>
  <c r="L63" i="1" a="1"/>
  <c r="L63" i="1" s="1"/>
  <c r="H54" i="1"/>
  <c r="J54" i="1" s="1" a="1"/>
  <c r="J54" i="1" s="1"/>
  <c r="L54" i="1" a="1"/>
  <c r="L54" i="1" s="1"/>
  <c r="L55" i="1" a="1"/>
  <c r="L55" i="1" s="1"/>
  <c r="L39" i="1" a="1"/>
  <c r="L39" i="1" s="1"/>
  <c r="L23" i="1" a="1"/>
  <c r="L23" i="1" s="1"/>
  <c r="L42" i="1" a="1"/>
  <c r="L42" i="1" s="1"/>
  <c r="L26" i="1" a="1"/>
  <c r="L26" i="1" s="1"/>
  <c r="L10" i="1" a="1"/>
  <c r="L10" i="1" s="1"/>
  <c r="L6" i="1" a="1"/>
  <c r="L6" i="1" s="1"/>
  <c r="L8" i="1" a="1"/>
  <c r="L8" i="1" s="1"/>
  <c r="L3" i="1" a="1"/>
  <c r="L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<sst xmlns="http://schemas.openxmlformats.org/spreadsheetml/2006/main" count="388" uniqueCount="198">
  <si>
    <t>Drug.combination</t>
  </si>
  <si>
    <t>Synergy.score</t>
  </si>
  <si>
    <t>Most.synergistic.area.score</t>
  </si>
  <si>
    <t>Method</t>
  </si>
  <si>
    <t>95% CI</t>
  </si>
  <si>
    <t>Weighted.Synergy.score</t>
  </si>
  <si>
    <t>DXR[PS_ATCC] - A22[PS_ATCC]</t>
  </si>
  <si>
    <t>Bliss</t>
  </si>
  <si>
    <t>DXR[SA_ATCC] - A22[SA_ATCC]</t>
  </si>
  <si>
    <t>DXR[PS] - A22[PS]</t>
  </si>
  <si>
    <t>DXR[SA] - A22[SA]</t>
  </si>
  <si>
    <t>DXR[SE] - A22[SE]</t>
  </si>
  <si>
    <t>DXR[PS_MDR] - A22[PS_MDR]</t>
  </si>
  <si>
    <t>FOS[SA] - DXR[SA]</t>
  </si>
  <si>
    <t>FOS[SE] - DXR[SE]</t>
  </si>
  <si>
    <t>FOS[PS] - DXR[PS]</t>
  </si>
  <si>
    <t>FOS[PS_MDR] - DXR[PS_MDR]</t>
  </si>
  <si>
    <t>PMS[SA] - DXR[SA]</t>
  </si>
  <si>
    <t>PMS[SE] - DXR[SE]</t>
  </si>
  <si>
    <t>PMS[PS] - DXR[PS]</t>
  </si>
  <si>
    <t>PMS[PS_MDR] - DXR[PS_MDR]</t>
  </si>
  <si>
    <t>TPH[SA] - DXR[SA]</t>
  </si>
  <si>
    <t>TPH[SE] - DXR[SE]</t>
  </si>
  <si>
    <t>TPH[PS] - DXR[PS]</t>
  </si>
  <si>
    <t>TPH[PS_MDR] - DXR[PS_MDR]</t>
  </si>
  <si>
    <t>PMB[SA] - FOS[SA]</t>
  </si>
  <si>
    <t>PMB[SE] - FOS[SE]</t>
  </si>
  <si>
    <t>PMB[PS] - FOS[PS]</t>
  </si>
  <si>
    <t>PMB[PS_MDR] - FOS[PS_MDR]</t>
  </si>
  <si>
    <t>PUR[SA_ATCC] - AMK[SA_ATCC]</t>
  </si>
  <si>
    <t>PUR[PS_ATCC] - AMK[PS_ATCC]</t>
  </si>
  <si>
    <t>PUR[SA] - AMK[SA]</t>
  </si>
  <si>
    <t>PUR[SE] - AMK[SE]</t>
  </si>
  <si>
    <t>PUR[PS] - AMK[PS]</t>
  </si>
  <si>
    <t>PUR[PS_MDR] - AMK[PS_MDR]</t>
  </si>
  <si>
    <t>CFZ[SA] - AMP[SA]</t>
  </si>
  <si>
    <t>CFZ[SE] - AMP[SE]</t>
  </si>
  <si>
    <t>CFZ[PS] - AMP[PS]</t>
  </si>
  <si>
    <t>CFZ[PS_MDR] - AMP[PS_MDR]</t>
  </si>
  <si>
    <t>CEF[SA] - AMX[SA]</t>
  </si>
  <si>
    <t>CEF[SE] - AMX[SE]</t>
  </si>
  <si>
    <t>CEF[PS] - AMX[PS]</t>
  </si>
  <si>
    <t>CEF[PS_MDR] - AMX[PS_MDR]</t>
  </si>
  <si>
    <t>CER[SA] - AMX[SA]</t>
  </si>
  <si>
    <t>CER[SE] - AMX[SE]</t>
  </si>
  <si>
    <t>CER[PS] - AMX[PS]</t>
  </si>
  <si>
    <t>CER[PS_MDR] - AMX[PS_MDR]</t>
  </si>
  <si>
    <t>CFX[SA] - AMX[SA]</t>
  </si>
  <si>
    <t>CFX[SE] - AMX[SE]</t>
  </si>
  <si>
    <t>CFX[PS] - AMX[PS]</t>
  </si>
  <si>
    <t>CFX[PS_MDR] - AMX[PS_MDR]</t>
  </si>
  <si>
    <t>EGCG[SA_ATCC] - AMX[SA_ATCC]</t>
  </si>
  <si>
    <t>EGCG[PS_ATCC] - AMX[PS_ATCC]</t>
  </si>
  <si>
    <t>EGCG[SA] - AMX[SA]</t>
  </si>
  <si>
    <t>EGCG[SE] - AMX[SE]</t>
  </si>
  <si>
    <t>EGCG[PS] - AMX[PS]</t>
  </si>
  <si>
    <t>EGCG[PS_MDR] - AMX[PS_MDR]</t>
  </si>
  <si>
    <t>ERY[SA] - AMX[SA]</t>
  </si>
  <si>
    <t>ERY[SE] - AMX[SE]</t>
  </si>
  <si>
    <t>ERY[PS] - AMX[PS]</t>
  </si>
  <si>
    <t>ERY[PS_MDR] - AMX[PS_MDR]</t>
  </si>
  <si>
    <t>GEN[SA] - AMX[SA]</t>
  </si>
  <si>
    <t>GEN[SE] - AMX[SE]</t>
  </si>
  <si>
    <t>GEN[PS] - AMX[PS]</t>
  </si>
  <si>
    <t>GEN[PS_MDR] - AMX[PS_MDR]</t>
  </si>
  <si>
    <t>PQ[SA] - AMX[SA]</t>
  </si>
  <si>
    <t>PQ[SE] - AMX[SE]</t>
  </si>
  <si>
    <t>PQ[PS] - AMX[PS]</t>
  </si>
  <si>
    <t>PQ[PS_MDR] - AMX[PS_MDR]</t>
  </si>
  <si>
    <t>CCCP[SA] - AZT[SA]</t>
  </si>
  <si>
    <t>CCCP[SE] - AZT[SE]</t>
  </si>
  <si>
    <t>CCCP[PS] - AZT[PS]</t>
  </si>
  <si>
    <t>CCCP[PS_MDR] - AZT[PS_MDR]</t>
  </si>
  <si>
    <t>CER[SA_ATCC] - BAC[SA_ATCC]</t>
  </si>
  <si>
    <t>CER[PS_ATCC] - BAC[PS_ATCC]</t>
  </si>
  <si>
    <t>CER[SA] - BAC[SA]</t>
  </si>
  <si>
    <t>CER[SE] - BAC[SE]</t>
  </si>
  <si>
    <t>CER[PS] - BAC[PS]</t>
  </si>
  <si>
    <t>CER[PS_MDR] - BAC[PS_MDR]</t>
  </si>
  <si>
    <t>CIP[SA] - BAC[SA]</t>
  </si>
  <si>
    <t>CIP[SE] - BAC[SE]</t>
  </si>
  <si>
    <t>CIP[PS] - BAC[PS]</t>
  </si>
  <si>
    <t>CIP[PS_MDR] - BAC[PS_MDR]</t>
  </si>
  <si>
    <t>GEN[SA] - BAC[SA]</t>
  </si>
  <si>
    <t>GEN[SE] - BAC[SE]</t>
  </si>
  <si>
    <t>GEN[PS] - BAC[PS]</t>
  </si>
  <si>
    <t>GEN[PS_MDR] - BAC[PS_MDR]</t>
  </si>
  <si>
    <t>DXR[SA_ATCC] - BZK[SA_ATCC]</t>
  </si>
  <si>
    <t>DXR[PS_ATCC] - BZK[PS_ATCC]</t>
  </si>
  <si>
    <t>DXR[SA] - BZK[SA]</t>
  </si>
  <si>
    <t>DXR[SE] - BZK[SE]</t>
  </si>
  <si>
    <t>DXR[PS] - BZK[PS]</t>
  </si>
  <si>
    <t>DXR[PS_MDR] - BZK[PS_MDR]</t>
  </si>
  <si>
    <t>DOX[SA] - CCCP[SA]</t>
  </si>
  <si>
    <t>DOX[SE] - CCCP[SE]</t>
  </si>
  <si>
    <t>DOX[PS] - CCCP[PS]</t>
  </si>
  <si>
    <t>DOX[PS_MDR] - CCCP[PS_MDR]</t>
  </si>
  <si>
    <t>SPI[SA] - CCCP[SA]</t>
  </si>
  <si>
    <t>SPI[SE] - CCCP[SE]</t>
  </si>
  <si>
    <t>SPI[PS] - CCCP[PS]</t>
  </si>
  <si>
    <t>SPI[PS_MDR] - CCCP[PS_MDR]</t>
  </si>
  <si>
    <t>THZ[SA] - CCCP[SA]</t>
  </si>
  <si>
    <t>THZ[SE] - CCCP[SE]</t>
  </si>
  <si>
    <t>THZ[PS] - CCCP[PS]</t>
  </si>
  <si>
    <t>THZ[PS_MDR] - CCCP[PS_MDR]</t>
  </si>
  <si>
    <t>CET[SA] - CER[SA]</t>
  </si>
  <si>
    <t>CET[SE] - CER[SE]</t>
  </si>
  <si>
    <t>CET[PS] - CER[PS]</t>
  </si>
  <si>
    <t>CET[PS_MDR] - CER[PS_MDR]</t>
  </si>
  <si>
    <t>EGCG[SA_ATCC] - DXR[SA_ATCC]</t>
  </si>
  <si>
    <t>EGCG[PS_ATCC] - DXR[PS_ATCC]</t>
  </si>
  <si>
    <t>EGCG[SE] - DXR[SE]</t>
  </si>
  <si>
    <t>EGCG[SA] - DXR[SA]</t>
  </si>
  <si>
    <t>EGCG[PS] - DXR[PS]</t>
  </si>
  <si>
    <t>EGCG[PS_MDR] - DXR[PS_MDR]</t>
  </si>
  <si>
    <t>OFL[SE] - DXR[SE]</t>
  </si>
  <si>
    <t>OFL[SA] - DXR[SA]</t>
  </si>
  <si>
    <t>OFL[PS] - DXR[PS]</t>
  </si>
  <si>
    <t>OFL[PS_MDR] - DXR[PS_MDR]</t>
  </si>
  <si>
    <t>TMP[SE] - DXR[SE]</t>
  </si>
  <si>
    <t>TMP[SA] - DXR[SA]</t>
  </si>
  <si>
    <t>TMP[PS] - DXR[PS]</t>
  </si>
  <si>
    <t>TMP[PS_MDR] - DXR[PS_MDR]</t>
  </si>
  <si>
    <t>PMB[SE] - ERY[SE]</t>
  </si>
  <si>
    <t>PMB[SA] - ERY[SA]</t>
  </si>
  <si>
    <t>PMB[PS] - ERY[PS]</t>
  </si>
  <si>
    <t>PMB[PS_MDR] - ERY[PS_MDR]</t>
  </si>
  <si>
    <t>OFL[SE] - FOS[SE]</t>
  </si>
  <si>
    <t>OFL[SA] - FOS[SA]</t>
  </si>
  <si>
    <t>OFL[PS] - FOS[PS]</t>
  </si>
  <si>
    <t>OFL[PS_MDR] - FOS[PS_MDR]</t>
  </si>
  <si>
    <t>PQ[SA_ATCC] - DXR[SA_ATCC]</t>
  </si>
  <si>
    <t>PQ[PS_ATCC] - DXR[PS_ATCC]</t>
  </si>
  <si>
    <t>PQ[SE] - DXR[SE]</t>
  </si>
  <si>
    <t>PQ[SA] - DXR[SA]</t>
  </si>
  <si>
    <t>PQ[PS] - DXR[PS]</t>
  </si>
  <si>
    <t>PQ[PS_MDR] - DXR[PS_MDR]</t>
  </si>
  <si>
    <t>OXA[SE] - MMC[SE]</t>
  </si>
  <si>
    <t>OXA[SA] - MMC[SA]</t>
  </si>
  <si>
    <t>OXA[PS] - MMC[PS]</t>
  </si>
  <si>
    <t>OXA[PS_MDR] - MMC[PS_MDR]</t>
  </si>
  <si>
    <t>PHL[SE] - NIT[SE]</t>
  </si>
  <si>
    <t>PHL[SA] - NIT[SA]</t>
  </si>
  <si>
    <t>PHL[PS] - NIT[PS]</t>
  </si>
  <si>
    <t>PHL[PS_MDR] - NIT[PS_MDR]</t>
  </si>
  <si>
    <t>TPH[SE] - OFL[SE]</t>
  </si>
  <si>
    <t>TPH[SA] - OFL[SA]</t>
  </si>
  <si>
    <t>TPH[PS] - OFL[PS]</t>
  </si>
  <si>
    <t>TPH[PS_MDR] - OFL[PS_MDR]</t>
  </si>
  <si>
    <t>PUR[SE] - PMB[SE]</t>
  </si>
  <si>
    <t>PUR[SA] - PMB[SA]</t>
  </si>
  <si>
    <t>PUR[PS] - PMB[PS]</t>
  </si>
  <si>
    <t>PUR[PS_MDR] - PMB[PS_MDR]</t>
  </si>
  <si>
    <t>DXR[SE] - CER[SE]</t>
  </si>
  <si>
    <t>DXR[SA] - CER[SA]</t>
  </si>
  <si>
    <t>CFS[SE] - CER[SE]</t>
  </si>
  <si>
    <t>CFS[SA] - CER[SA]</t>
  </si>
  <si>
    <t>KAN[SE] - CER[SE]</t>
  </si>
  <si>
    <t>KAN[SA] - CER[SA]</t>
  </si>
  <si>
    <t>PMB[SE] - CER[SE]</t>
  </si>
  <si>
    <t>PMB[SA] - CER[SA]</t>
  </si>
  <si>
    <t>MOX[SE] - CET[SE]</t>
  </si>
  <si>
    <t>MOX[SA] - CET[SA]</t>
  </si>
  <si>
    <t>MOX[PS] - CET[PS]</t>
  </si>
  <si>
    <t>MOX[PS_MDR] - CET[PS_MDR]</t>
  </si>
  <si>
    <t>GAT[SA_ATCC] - CET[SA_ATCC]</t>
  </si>
  <si>
    <t>GAT[PS_ATCC] - CET[PS_ATCC]</t>
  </si>
  <si>
    <t>GAT[SE] - CET[SE]</t>
  </si>
  <si>
    <t>GAT[SA] - CET[SA]</t>
  </si>
  <si>
    <t>GAT[PS] - CET[PS]</t>
  </si>
  <si>
    <t>GAT[PS_MDR] - CET[PS_MDR]</t>
  </si>
  <si>
    <t>GAT[SA_ATCC] - CFS[SA_ATCC]</t>
  </si>
  <si>
    <t>GAT[PS_ATCC] - CFS[PS_ATCC]</t>
  </si>
  <si>
    <t>GAT[SE] - CFS[SE]</t>
  </si>
  <si>
    <t>GAT[SA] - CFS[SA]</t>
  </si>
  <si>
    <t>GAT[PS] - CFS[PS]</t>
  </si>
  <si>
    <t>GAT[PS_MDR] - CFS[PS_MDR]</t>
  </si>
  <si>
    <t>MOX[SE] - CFS[SE]</t>
  </si>
  <si>
    <t>MOX[SA] - CFS[SA]</t>
  </si>
  <si>
    <t>MOX[PS] - CFS[PS]</t>
  </si>
  <si>
    <t>MOX[PS_MDR] - CFS[PS_MDR]</t>
  </si>
  <si>
    <t>OXA[SE] - CFZ[SE]</t>
  </si>
  <si>
    <t>OXA[SA] - CFZ[SA]</t>
  </si>
  <si>
    <t>OXA[PS] - CFZ[PS]</t>
  </si>
  <si>
    <t>OXA[PS_MDR] - CFZ[PS_MDR]</t>
  </si>
  <si>
    <t>PMB[SE] - CHL[SE]</t>
  </si>
  <si>
    <t>PMB[SA] - CHL[SA]</t>
  </si>
  <si>
    <t>PMB[PS] - CHL[PS]</t>
  </si>
  <si>
    <t>PMB[PS_MDR] - CHL[PS_MDR]</t>
  </si>
  <si>
    <t>OFL[SE] - CSD[SE]</t>
  </si>
  <si>
    <t>OFL[SA] - CSD[SA]</t>
  </si>
  <si>
    <t>OFL[PS] - CSD[PS]</t>
  </si>
  <si>
    <t>OFL[PS_MDR] - CSD[PS_MDR]</t>
  </si>
  <si>
    <t>TPH[PS_ATCC] - FUS[PS_ATCC]</t>
  </si>
  <si>
    <t>TPH[SE] - FUS[SE]</t>
  </si>
  <si>
    <t>TPH[SA] - FUS[SA]</t>
  </si>
  <si>
    <t>TPH[PS] - FUS[PS]</t>
  </si>
  <si>
    <t>TPH[PS_MDR] - FUS[PS_MDR]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</si>
</sst>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F192" totalsRowShown="0">
  <autoFilter ref="A1:F192" xr:uid="{00000000-0009-0000-0100-000003000000}"/>
  <tableColumns count="6">
    <tableColumn id="1" xr3:uid="{00000000-0010-0000-0000-000001000000}" name="Drug.combination"/>
    <tableColumn id="2" xr3:uid="{00000000-0010-0000-0000-000002000000}" name="Synergy.score"/>
    <tableColumn id="3" xr3:uid="{00000000-0010-0000-0000-000003000000}" name="Most.synergistic.area.score"/>
    <tableColumn id="4" xr3:uid="{00000000-0010-0000-0000-000004000000}" name="Method"/>
    <tableColumn id="5" xr3:uid="{00000000-0010-0000-0000-000005000000}" name="95% CI"/>
    <tableColumn id="6" xr3:uid="{00000000-0010-0000-0000-000006000000}" name="Weighted.Synergy.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2"/>
  <sheetViews>
    <sheetView tabSelected="1" workbookViewId="0">
      <selection activeCell="O2" sqref="O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8" x14ac:dyDescent="0.35">
      <c r="A2" t="s">
        <v>6</v>
      </c>
      <c r="B2">
        <v>-1.0640000000000001</v>
      </c>
      <c r="C2">
        <v>1.1080000000000001</v>
      </c>
      <c r="D2" t="s">
        <v>7</v>
      </c>
      <c r="F2">
        <v>-1.073</v>
      </c>
      <c r="H2" t="str" cm="1">
        <f t="array" ref="H2:I2">_xlfn.TEXTSPLIT(Table3[[#This Row],[Drug.combination]], " - ")</f>
        <v>DXR[PS_ATCC]</v>
      </c>
      <c r="I2" t="str">
        <v>A22[PS_ATCC]</v>
      </c>
      <c r="J2" t="str" cm="1">
        <f t="array" ref="J2:K2">_xlfn.TEXTSPLIT(H2, "[")</f>
        <v>DXR</v>
      </c>
      <c r="K2" t="str">
        <v>PS_ATCC]</v>
      </c>
      <c r="L2" t="str" cm="1">
        <f t="array" ref="L2:M2">_xlfn.TEXTSPLIT(I2, "[")</f>
        <v>A22</v>
      </c>
      <c r="M2" t="str">
        <v>PS_ATCC]</v>
      </c>
      <c r="O2" t="str">
        <f>LEFT(K2, LEN(K2)-1)</f>
        <v>PS_ATCC</v>
      </c>
      <c r="P2" t="str">
        <f>_xlfn.TEXTJOIN("-", TRUE, L2, J2)</f>
        <v>A22-DXR</v>
      </c>
      <c r="Q2">
        <f>Table3[[#This Row],[Synergy.score]]</f>
        <v>-1.0640000000000001</v>
      </c>
      <c r="R2">
        <f>Table3[[#This Row],[Most.synergistic.area.score]]</f>
        <v>1.1080000000000001</v>
      </c>
    </row>
    <row r="3" spans="1:18" x14ac:dyDescent="0.35">
      <c r="A3" t="s">
        <v>8</v>
      </c>
      <c r="B3">
        <v>-9.1479999999999997</v>
      </c>
      <c r="C3">
        <v>0.878</v>
      </c>
      <c r="D3" t="s">
        <v>7</v>
      </c>
      <c r="F3">
        <v>-6.6950000000000003</v>
      </c>
      <c r="H3" t="str" cm="1">
        <f t="array" ref="H3:I3">_xlfn.TEXTSPLIT(Table3[[#This Row],[Drug.combination]], " - ")</f>
        <v>DXR[SA_ATCC]</v>
      </c>
      <c r="I3" t="str">
        <v>A22[SA_ATCC]</v>
      </c>
      <c r="J3" t="str" cm="1">
        <f t="array" ref="J3:K3">_xlfn.TEXTSPLIT(H3, "[")</f>
        <v>DXR</v>
      </c>
      <c r="K3" t="str">
        <v>SA_ATCC]</v>
      </c>
      <c r="L3" t="str" cm="1">
        <f t="array" ref="L3:M3">_xlfn.TEXTSPLIT(I3, "[")</f>
        <v>A22</v>
      </c>
      <c r="M3" t="str">
        <v>SA_ATCC]</v>
      </c>
      <c r="O3" t="str">
        <f t="shared" ref="O3:O66" si="0">LEFT(K3, LEN(K3)-1)</f>
        <v>SA_ATCC</v>
      </c>
      <c r="P3" t="str">
        <f t="shared" ref="P3:P66" si="1">_xlfn.TEXTJOIN("-", TRUE, L3, J3)</f>
        <v>A22-DXR</v>
      </c>
      <c r="Q3">
        <f>Table3[[#This Row],[Synergy.score]]</f>
        <v>-9.1479999999999997</v>
      </c>
      <c r="R3">
        <f>Table3[[#This Row],[Most.synergistic.area.score]]</f>
        <v>0.878</v>
      </c>
    </row>
    <row r="4" spans="1:18" x14ac:dyDescent="0.35">
      <c r="A4" t="s">
        <v>9</v>
      </c>
      <c r="B4">
        <v>-6.4729999999999999</v>
      </c>
      <c r="C4">
        <v>3.7999999999999999E-2</v>
      </c>
      <c r="D4" t="s">
        <v>7</v>
      </c>
      <c r="F4">
        <v>-3.2160000000000002</v>
      </c>
      <c r="H4" t="str" cm="1">
        <f t="array" ref="H4:I4">_xlfn.TEXTSPLIT(Table3[[#This Row],[Drug.combination]], " - ")</f>
        <v>DXR[PS]</v>
      </c>
      <c r="I4" t="str">
        <v>A22[PS]</v>
      </c>
      <c r="J4" t="str" cm="1">
        <f t="array" ref="J4:K4">_xlfn.TEXTSPLIT(H4, "[")</f>
        <v>DXR</v>
      </c>
      <c r="K4" t="str">
        <v>PS]</v>
      </c>
      <c r="L4" t="str" cm="1">
        <f t="array" ref="L4:M4">_xlfn.TEXTSPLIT(I4, "[")</f>
        <v>A22</v>
      </c>
      <c r="M4" t="str">
        <v>PS]</v>
      </c>
      <c r="O4" t="str">
        <f t="shared" si="0"/>
        <v>PS</v>
      </c>
      <c r="P4" t="str">
        <f t="shared" si="1"/>
        <v>A22-DXR</v>
      </c>
      <c r="Q4">
        <f>Table3[[#This Row],[Synergy.score]]</f>
        <v>-6.4729999999999999</v>
      </c>
      <c r="R4">
        <f>Table3[[#This Row],[Most.synergistic.area.score]]</f>
        <v>3.7999999999999999E-2</v>
      </c>
    </row>
    <row r="5" spans="1:18" x14ac:dyDescent="0.35">
      <c r="A5" t="s">
        <v>10</v>
      </c>
      <c r="B5">
        <v>-0.35499999999999998</v>
      </c>
      <c r="C5">
        <v>7.6539999999999999</v>
      </c>
      <c r="D5" t="s">
        <v>7</v>
      </c>
      <c r="F5">
        <v>-0.24</v>
      </c>
      <c r="H5" t="str" cm="1">
        <f t="array" ref="H5:I5">_xlfn.TEXTSPLIT(Table3[[#This Row],[Drug.combination]], " - ")</f>
        <v>DXR[SA]</v>
      </c>
      <c r="I5" t="str">
        <v>A22[SA]</v>
      </c>
      <c r="J5" t="str" cm="1">
        <f t="array" ref="J5:K5">_xlfn.TEXTSPLIT(H5, "[")</f>
        <v>DXR</v>
      </c>
      <c r="K5" t="str">
        <v>SA]</v>
      </c>
      <c r="L5" t="str" cm="1">
        <f t="array" ref="L5:M5">_xlfn.TEXTSPLIT(I5, "[")</f>
        <v>A22</v>
      </c>
      <c r="M5" t="str">
        <v>SA]</v>
      </c>
      <c r="O5" t="str">
        <f t="shared" si="0"/>
        <v>SA</v>
      </c>
      <c r="P5" t="str">
        <f t="shared" si="1"/>
        <v>A22-DXR</v>
      </c>
      <c r="Q5">
        <f>Table3[[#This Row],[Synergy.score]]</f>
        <v>-0.35499999999999998</v>
      </c>
      <c r="R5">
        <f>Table3[[#This Row],[Most.synergistic.area.score]]</f>
        <v>7.6539999999999999</v>
      </c>
    </row>
    <row r="6" spans="1:18" x14ac:dyDescent="0.35">
      <c r="A6" t="s">
        <v>11</v>
      </c>
      <c r="B6">
        <v>-0.17699999999999999</v>
      </c>
      <c r="C6">
        <v>6.5170000000000003</v>
      </c>
      <c r="D6" t="s">
        <v>7</v>
      </c>
      <c r="F6">
        <v>0.64500000000000002</v>
      </c>
      <c r="H6" t="str" cm="1">
        <f t="array" ref="H6:I6">_xlfn.TEXTSPLIT(Table3[[#This Row],[Drug.combination]], " - ")</f>
        <v>DXR[SE]</v>
      </c>
      <c r="I6" t="str">
        <v>A22[SE]</v>
      </c>
      <c r="J6" t="str" cm="1">
        <f t="array" ref="J6:K6">_xlfn.TEXTSPLIT(H6, "[")</f>
        <v>DXR</v>
      </c>
      <c r="K6" t="str">
        <v>SE]</v>
      </c>
      <c r="L6" t="str" cm="1">
        <f t="array" ref="L6:M6">_xlfn.TEXTSPLIT(I6, "[")</f>
        <v>A22</v>
      </c>
      <c r="M6" t="str">
        <v>SE]</v>
      </c>
      <c r="O6" t="str">
        <f t="shared" si="0"/>
        <v>SE</v>
      </c>
      <c r="P6" t="str">
        <f t="shared" si="1"/>
        <v>A22-DXR</v>
      </c>
      <c r="Q6">
        <f>Table3[[#This Row],[Synergy.score]]</f>
        <v>-0.17699999999999999</v>
      </c>
      <c r="R6">
        <f>Table3[[#This Row],[Most.synergistic.area.score]]</f>
        <v>6.5170000000000003</v>
      </c>
    </row>
    <row r="7" spans="1:18" x14ac:dyDescent="0.35">
      <c r="A7" t="s">
        <v>12</v>
      </c>
      <c r="B7">
        <v>0.222</v>
      </c>
      <c r="C7">
        <v>1.738</v>
      </c>
      <c r="D7" t="s">
        <v>7</v>
      </c>
      <c r="F7">
        <v>0.22600000000000001</v>
      </c>
      <c r="H7" t="str" cm="1">
        <f t="array" ref="H7:I7">_xlfn.TEXTSPLIT(Table3[[#This Row],[Drug.combination]], " - ")</f>
        <v>DXR[PS_MDR]</v>
      </c>
      <c r="I7" t="str">
        <v>A22[PS_MDR]</v>
      </c>
      <c r="J7" t="str" cm="1">
        <f t="array" ref="J7:K7">_xlfn.TEXTSPLIT(H7, "[")</f>
        <v>DXR</v>
      </c>
      <c r="K7" t="str">
        <v>PS_MDR]</v>
      </c>
      <c r="L7" t="str" cm="1">
        <f t="array" ref="L7:M7">_xlfn.TEXTSPLIT(I7, "[")</f>
        <v>A22</v>
      </c>
      <c r="M7" t="str">
        <v>PS_MDR]</v>
      </c>
      <c r="O7" t="str">
        <f t="shared" si="0"/>
        <v>PS_MDR</v>
      </c>
      <c r="P7" t="str">
        <f t="shared" si="1"/>
        <v>A22-DXR</v>
      </c>
      <c r="Q7">
        <f>Table3[[#This Row],[Synergy.score]]</f>
        <v>0.222</v>
      </c>
      <c r="R7">
        <f>Table3[[#This Row],[Most.synergistic.area.score]]</f>
        <v>1.738</v>
      </c>
    </row>
    <row r="8" spans="1:18" x14ac:dyDescent="0.35">
      <c r="A8" t="s">
        <v>13</v>
      </c>
      <c r="B8">
        <v>-3.0009999999999999</v>
      </c>
      <c r="C8">
        <v>7.3959999999999999</v>
      </c>
      <c r="D8" t="s">
        <v>7</v>
      </c>
      <c r="F8">
        <v>-1.4179999999999999</v>
      </c>
      <c r="H8" t="str" cm="1">
        <f t="array" ref="H8:I8">_xlfn.TEXTSPLIT(Table3[[#This Row],[Drug.combination]], " - ")</f>
        <v>FOS[SA]</v>
      </c>
      <c r="I8" t="str">
        <v>DXR[SA]</v>
      </c>
      <c r="J8" t="str" cm="1">
        <f t="array" ref="J8:K8">_xlfn.TEXTSPLIT(H8, "[")</f>
        <v>FOS</v>
      </c>
      <c r="K8" t="str">
        <v>SA]</v>
      </c>
      <c r="L8" t="str" cm="1">
        <f t="array" ref="L8:M8">_xlfn.TEXTSPLIT(I8, "[")</f>
        <v>DXR</v>
      </c>
      <c r="M8" t="str">
        <v>SA]</v>
      </c>
      <c r="O8" t="str">
        <f t="shared" si="0"/>
        <v>SA</v>
      </c>
      <c r="P8" t="str">
        <f t="shared" si="1"/>
        <v>DXR-FOS</v>
      </c>
      <c r="Q8">
        <f>Table3[[#This Row],[Synergy.score]]</f>
        <v>-3.0009999999999999</v>
      </c>
      <c r="R8">
        <f>Table3[[#This Row],[Most.synergistic.area.score]]</f>
        <v>7.3959999999999999</v>
      </c>
    </row>
    <row r="9" spans="1:18" x14ac:dyDescent="0.35">
      <c r="A9" t="s">
        <v>14</v>
      </c>
      <c r="B9">
        <v>0.46300000000000002</v>
      </c>
      <c r="C9">
        <v>10.917</v>
      </c>
      <c r="D9" t="s">
        <v>7</v>
      </c>
      <c r="F9">
        <v>-0.46100000000000002</v>
      </c>
      <c r="H9" t="str" cm="1">
        <f t="array" ref="H9:I9">_xlfn.TEXTSPLIT(Table3[[#This Row],[Drug.combination]], " - ")</f>
        <v>FOS[SE]</v>
      </c>
      <c r="I9" t="str">
        <v>DXR[SE]</v>
      </c>
      <c r="J9" t="str" cm="1">
        <f t="array" ref="J9:K9">_xlfn.TEXTSPLIT(H9, "[")</f>
        <v>FOS</v>
      </c>
      <c r="K9" t="str">
        <v>SE]</v>
      </c>
      <c r="L9" t="str" cm="1">
        <f t="array" ref="L9:M9">_xlfn.TEXTSPLIT(I9, "[")</f>
        <v>DXR</v>
      </c>
      <c r="M9" t="str">
        <v>SE]</v>
      </c>
      <c r="O9" t="str">
        <f t="shared" si="0"/>
        <v>SE</v>
      </c>
      <c r="P9" t="str">
        <f t="shared" si="1"/>
        <v>DXR-FOS</v>
      </c>
      <c r="Q9">
        <f>Table3[[#This Row],[Synergy.score]]</f>
        <v>0.46300000000000002</v>
      </c>
      <c r="R9">
        <f>Table3[[#This Row],[Most.synergistic.area.score]]</f>
        <v>10.917</v>
      </c>
    </row>
    <row r="10" spans="1:18" x14ac:dyDescent="0.35">
      <c r="A10" t="s">
        <v>15</v>
      </c>
      <c r="B10">
        <v>5.024</v>
      </c>
      <c r="C10">
        <v>23.972999999999999</v>
      </c>
      <c r="D10" t="s">
        <v>7</v>
      </c>
      <c r="F10">
        <v>3.4740000000000002</v>
      </c>
      <c r="H10" t="str" cm="1">
        <f t="array" ref="H10:I10">_xlfn.TEXTSPLIT(Table3[[#This Row],[Drug.combination]], " - ")</f>
        <v>FOS[PS]</v>
      </c>
      <c r="I10" t="str">
        <v>DXR[PS]</v>
      </c>
      <c r="J10" t="str" cm="1">
        <f t="array" ref="J10:K10">_xlfn.TEXTSPLIT(H10, "[")</f>
        <v>FOS</v>
      </c>
      <c r="K10" t="str">
        <v>PS]</v>
      </c>
      <c r="L10" t="str" cm="1">
        <f t="array" ref="L10:M10">_xlfn.TEXTSPLIT(I10, "[")</f>
        <v>DXR</v>
      </c>
      <c r="M10" t="str">
        <v>PS]</v>
      </c>
      <c r="O10" t="str">
        <f t="shared" si="0"/>
        <v>PS</v>
      </c>
      <c r="P10" t="str">
        <f t="shared" si="1"/>
        <v>DXR-FOS</v>
      </c>
      <c r="Q10">
        <f>Table3[[#This Row],[Synergy.score]]</f>
        <v>5.024</v>
      </c>
      <c r="R10">
        <f>Table3[[#This Row],[Most.synergistic.area.score]]</f>
        <v>23.972999999999999</v>
      </c>
    </row>
    <row r="11" spans="1:18" x14ac:dyDescent="0.35">
      <c r="A11" t="s">
        <v>16</v>
      </c>
      <c r="B11">
        <v>-1.4850000000000001</v>
      </c>
      <c r="C11">
        <v>4.1580000000000004</v>
      </c>
      <c r="D11" t="s">
        <v>7</v>
      </c>
      <c r="F11">
        <v>-1.3779999999999999</v>
      </c>
      <c r="H11" t="str" cm="1">
        <f t="array" ref="H11:I11">_xlfn.TEXTSPLIT(Table3[[#This Row],[Drug.combination]], " - ")</f>
        <v>FOS[PS_MDR]</v>
      </c>
      <c r="I11" t="str">
        <v>DXR[PS_MDR]</v>
      </c>
      <c r="J11" t="str" cm="1">
        <f t="array" ref="J11:K11">_xlfn.TEXTSPLIT(H11, "[")</f>
        <v>FOS</v>
      </c>
      <c r="K11" t="str">
        <v>PS_MDR]</v>
      </c>
      <c r="L11" t="str" cm="1">
        <f t="array" ref="L11:M11">_xlfn.TEXTSPLIT(I11, "[")</f>
        <v>DXR</v>
      </c>
      <c r="M11" t="str">
        <v>PS_MDR]</v>
      </c>
      <c r="O11" t="str">
        <f t="shared" si="0"/>
        <v>PS_MDR</v>
      </c>
      <c r="P11" t="str">
        <f t="shared" si="1"/>
        <v>DXR-FOS</v>
      </c>
      <c r="Q11">
        <f>Table3[[#This Row],[Synergy.score]]</f>
        <v>-1.4850000000000001</v>
      </c>
      <c r="R11">
        <f>Table3[[#This Row],[Most.synergistic.area.score]]</f>
        <v>4.1580000000000004</v>
      </c>
    </row>
    <row r="12" spans="1:18" x14ac:dyDescent="0.35">
      <c r="A12" t="s">
        <v>17</v>
      </c>
      <c r="B12">
        <v>-9.0549999999999997</v>
      </c>
      <c r="C12">
        <v>8</v>
      </c>
      <c r="D12" t="s">
        <v>7</v>
      </c>
      <c r="F12">
        <v>-5.9059999999999997</v>
      </c>
      <c r="H12" t="str" cm="1">
        <f t="array" ref="H12:I12">_xlfn.TEXTSPLIT(Table3[[#This Row],[Drug.combination]], " - ")</f>
        <v>PMS[SA]</v>
      </c>
      <c r="I12" t="str">
        <v>DXR[SA]</v>
      </c>
      <c r="J12" t="str" cm="1">
        <f t="array" ref="J12:K12">_xlfn.TEXTSPLIT(H12, "[")</f>
        <v>PMS</v>
      </c>
      <c r="K12" t="str">
        <v>SA]</v>
      </c>
      <c r="L12" t="str" cm="1">
        <f t="array" ref="L12:M12">_xlfn.TEXTSPLIT(I12, "[")</f>
        <v>DXR</v>
      </c>
      <c r="M12" t="str">
        <v>SA]</v>
      </c>
      <c r="O12" t="str">
        <f t="shared" si="0"/>
        <v>SA</v>
      </c>
      <c r="P12" t="str">
        <f t="shared" si="1"/>
        <v>DXR-PMS</v>
      </c>
      <c r="Q12">
        <f>Table3[[#This Row],[Synergy.score]]</f>
        <v>-9.0549999999999997</v>
      </c>
      <c r="R12">
        <f>Table3[[#This Row],[Most.synergistic.area.score]]</f>
        <v>8</v>
      </c>
    </row>
    <row r="13" spans="1:18" x14ac:dyDescent="0.35">
      <c r="A13" t="s">
        <v>18</v>
      </c>
      <c r="B13">
        <v>-3.75</v>
      </c>
      <c r="C13">
        <v>18.152999999999999</v>
      </c>
      <c r="D13" t="s">
        <v>7</v>
      </c>
      <c r="F13">
        <v>-3.1030000000000002</v>
      </c>
      <c r="H13" t="str" cm="1">
        <f t="array" ref="H13:I13">_xlfn.TEXTSPLIT(Table3[[#This Row],[Drug.combination]], " - ")</f>
        <v>PMS[SE]</v>
      </c>
      <c r="I13" t="str">
        <v>DXR[SE]</v>
      </c>
      <c r="J13" t="str" cm="1">
        <f t="array" ref="J13:K13">_xlfn.TEXTSPLIT(H13, "[")</f>
        <v>PMS</v>
      </c>
      <c r="K13" t="str">
        <v>SE]</v>
      </c>
      <c r="L13" t="str" cm="1">
        <f t="array" ref="L13:M13">_xlfn.TEXTSPLIT(I13, "[")</f>
        <v>DXR</v>
      </c>
      <c r="M13" t="str">
        <v>SE]</v>
      </c>
      <c r="O13" t="str">
        <f t="shared" si="0"/>
        <v>SE</v>
      </c>
      <c r="P13" t="str">
        <f t="shared" si="1"/>
        <v>DXR-PMS</v>
      </c>
      <c r="Q13">
        <f>Table3[[#This Row],[Synergy.score]]</f>
        <v>-3.75</v>
      </c>
      <c r="R13">
        <f>Table3[[#This Row],[Most.synergistic.area.score]]</f>
        <v>18.152999999999999</v>
      </c>
    </row>
    <row r="14" spans="1:18" x14ac:dyDescent="0.35">
      <c r="A14" t="s">
        <v>19</v>
      </c>
      <c r="B14">
        <v>-7.3609999999999998</v>
      </c>
      <c r="C14">
        <v>0.30199999999999999</v>
      </c>
      <c r="D14" t="s">
        <v>7</v>
      </c>
      <c r="F14">
        <v>-7.2969999999999997</v>
      </c>
      <c r="H14" t="str" cm="1">
        <f t="array" ref="H14:I14">_xlfn.TEXTSPLIT(Table3[[#This Row],[Drug.combination]], " - ")</f>
        <v>PMS[PS]</v>
      </c>
      <c r="I14" t="str">
        <v>DXR[PS]</v>
      </c>
      <c r="J14" t="str" cm="1">
        <f t="array" ref="J14:K14">_xlfn.TEXTSPLIT(H14, "[")</f>
        <v>PMS</v>
      </c>
      <c r="K14" t="str">
        <v>PS]</v>
      </c>
      <c r="L14" t="str" cm="1">
        <f t="array" ref="L14:M14">_xlfn.TEXTSPLIT(I14, "[")</f>
        <v>DXR</v>
      </c>
      <c r="M14" t="str">
        <v>PS]</v>
      </c>
      <c r="O14" t="str">
        <f t="shared" si="0"/>
        <v>PS</v>
      </c>
      <c r="P14" t="str">
        <f t="shared" si="1"/>
        <v>DXR-PMS</v>
      </c>
      <c r="Q14">
        <f>Table3[[#This Row],[Synergy.score]]</f>
        <v>-7.3609999999999998</v>
      </c>
      <c r="R14">
        <f>Table3[[#This Row],[Most.synergistic.area.score]]</f>
        <v>0.30199999999999999</v>
      </c>
    </row>
    <row r="15" spans="1:18" x14ac:dyDescent="0.35">
      <c r="A15" t="s">
        <v>20</v>
      </c>
      <c r="B15">
        <v>-2.653</v>
      </c>
      <c r="C15">
        <v>-0.26500000000000001</v>
      </c>
      <c r="D15" t="s">
        <v>7</v>
      </c>
      <c r="F15">
        <v>-2.5070000000000001</v>
      </c>
      <c r="H15" t="str" cm="1">
        <f t="array" ref="H15:I15">_xlfn.TEXTSPLIT(Table3[[#This Row],[Drug.combination]], " - ")</f>
        <v>PMS[PS_MDR]</v>
      </c>
      <c r="I15" t="str">
        <v>DXR[PS_MDR]</v>
      </c>
      <c r="J15" t="str" cm="1">
        <f t="array" ref="J15:K15">_xlfn.TEXTSPLIT(H15, "[")</f>
        <v>PMS</v>
      </c>
      <c r="K15" t="str">
        <v>PS_MDR]</v>
      </c>
      <c r="L15" t="str" cm="1">
        <f t="array" ref="L15:M15">_xlfn.TEXTSPLIT(I15, "[")</f>
        <v>DXR</v>
      </c>
      <c r="M15" t="str">
        <v>PS_MDR]</v>
      </c>
      <c r="O15" t="str">
        <f t="shared" si="0"/>
        <v>PS_MDR</v>
      </c>
      <c r="P15" t="str">
        <f t="shared" si="1"/>
        <v>DXR-PMS</v>
      </c>
      <c r="Q15">
        <f>Table3[[#This Row],[Synergy.score]]</f>
        <v>-2.653</v>
      </c>
      <c r="R15">
        <f>Table3[[#This Row],[Most.synergistic.area.score]]</f>
        <v>-0.26500000000000001</v>
      </c>
    </row>
    <row r="16" spans="1:18" x14ac:dyDescent="0.35">
      <c r="A16" t="s">
        <v>21</v>
      </c>
      <c r="B16">
        <v>-11.052</v>
      </c>
      <c r="C16">
        <v>2.1440000000000001</v>
      </c>
      <c r="D16" t="s">
        <v>7</v>
      </c>
      <c r="F16">
        <v>-5.82</v>
      </c>
      <c r="H16" t="str" cm="1">
        <f t="array" ref="H16:I16">_xlfn.TEXTSPLIT(Table3[[#This Row],[Drug.combination]], " - ")</f>
        <v>TPH[SA]</v>
      </c>
      <c r="I16" t="str">
        <v>DXR[SA]</v>
      </c>
      <c r="J16" t="str" cm="1">
        <f t="array" ref="J16:K16">_xlfn.TEXTSPLIT(H16, "[")</f>
        <v>TPH</v>
      </c>
      <c r="K16" t="str">
        <v>SA]</v>
      </c>
      <c r="L16" t="str" cm="1">
        <f t="array" ref="L16:M16">_xlfn.TEXTSPLIT(I16, "[")</f>
        <v>DXR</v>
      </c>
      <c r="M16" t="str">
        <v>SA]</v>
      </c>
      <c r="O16" t="str">
        <f t="shared" si="0"/>
        <v>SA</v>
      </c>
      <c r="P16" t="str">
        <f t="shared" si="1"/>
        <v>DXR-TPH</v>
      </c>
      <c r="Q16">
        <f>Table3[[#This Row],[Synergy.score]]</f>
        <v>-11.052</v>
      </c>
      <c r="R16">
        <f>Table3[[#This Row],[Most.synergistic.area.score]]</f>
        <v>2.1440000000000001</v>
      </c>
    </row>
    <row r="17" spans="1:18" x14ac:dyDescent="0.35">
      <c r="A17" t="s">
        <v>22</v>
      </c>
      <c r="B17">
        <v>-12.563000000000001</v>
      </c>
      <c r="C17">
        <v>0.35199999999999998</v>
      </c>
      <c r="D17" t="s">
        <v>7</v>
      </c>
      <c r="F17">
        <v>-7.0629999999999997</v>
      </c>
      <c r="H17" t="str" cm="1">
        <f t="array" ref="H17:I17">_xlfn.TEXTSPLIT(Table3[[#This Row],[Drug.combination]], " - ")</f>
        <v>TPH[SE]</v>
      </c>
      <c r="I17" t="str">
        <v>DXR[SE]</v>
      </c>
      <c r="J17" t="str" cm="1">
        <f t="array" ref="J17:K17">_xlfn.TEXTSPLIT(H17, "[")</f>
        <v>TPH</v>
      </c>
      <c r="K17" t="str">
        <v>SE]</v>
      </c>
      <c r="L17" t="str" cm="1">
        <f t="array" ref="L17:M17">_xlfn.TEXTSPLIT(I17, "[")</f>
        <v>DXR</v>
      </c>
      <c r="M17" t="str">
        <v>SE]</v>
      </c>
      <c r="O17" t="str">
        <f t="shared" si="0"/>
        <v>SE</v>
      </c>
      <c r="P17" t="str">
        <f t="shared" si="1"/>
        <v>DXR-TPH</v>
      </c>
      <c r="Q17">
        <f>Table3[[#This Row],[Synergy.score]]</f>
        <v>-12.563000000000001</v>
      </c>
      <c r="R17">
        <f>Table3[[#This Row],[Most.synergistic.area.score]]</f>
        <v>0.35199999999999998</v>
      </c>
    </row>
    <row r="18" spans="1:18" x14ac:dyDescent="0.35">
      <c r="A18" t="s">
        <v>23</v>
      </c>
      <c r="B18">
        <v>-5.8140000000000001</v>
      </c>
      <c r="C18">
        <v>0.26700000000000002</v>
      </c>
      <c r="D18" t="s">
        <v>7</v>
      </c>
      <c r="F18">
        <v>-5.6970000000000001</v>
      </c>
      <c r="H18" t="str" cm="1">
        <f t="array" ref="H18:I18">_xlfn.TEXTSPLIT(Table3[[#This Row],[Drug.combination]], " - ")</f>
        <v>TPH[PS]</v>
      </c>
      <c r="I18" t="str">
        <v>DXR[PS]</v>
      </c>
      <c r="J18" t="str" cm="1">
        <f t="array" ref="J18:K18">_xlfn.TEXTSPLIT(H18, "[")</f>
        <v>TPH</v>
      </c>
      <c r="K18" t="str">
        <v>PS]</v>
      </c>
      <c r="L18" t="str" cm="1">
        <f t="array" ref="L18:M18">_xlfn.TEXTSPLIT(I18, "[")</f>
        <v>DXR</v>
      </c>
      <c r="M18" t="str">
        <v>PS]</v>
      </c>
      <c r="O18" t="str">
        <f t="shared" si="0"/>
        <v>PS</v>
      </c>
      <c r="P18" t="str">
        <f t="shared" si="1"/>
        <v>DXR-TPH</v>
      </c>
      <c r="Q18">
        <f>Table3[[#This Row],[Synergy.score]]</f>
        <v>-5.8140000000000001</v>
      </c>
      <c r="R18">
        <f>Table3[[#This Row],[Most.synergistic.area.score]]</f>
        <v>0.26700000000000002</v>
      </c>
    </row>
    <row r="19" spans="1:18" x14ac:dyDescent="0.35">
      <c r="A19" t="s">
        <v>24</v>
      </c>
      <c r="B19">
        <v>-1.7090000000000001</v>
      </c>
      <c r="C19">
        <v>4.2000000000000003E-2</v>
      </c>
      <c r="D19" t="s">
        <v>7</v>
      </c>
      <c r="F19">
        <v>-1.649</v>
      </c>
      <c r="H19" t="str" cm="1">
        <f t="array" ref="H19:I19">_xlfn.TEXTSPLIT(Table3[[#This Row],[Drug.combination]], " - ")</f>
        <v>TPH[PS_MDR]</v>
      </c>
      <c r="I19" t="str">
        <v>DXR[PS_MDR]</v>
      </c>
      <c r="J19" t="str" cm="1">
        <f t="array" ref="J19:K19">_xlfn.TEXTSPLIT(H19, "[")</f>
        <v>TPH</v>
      </c>
      <c r="K19" t="str">
        <v>PS_MDR]</v>
      </c>
      <c r="L19" t="str" cm="1">
        <f t="array" ref="L19:M19">_xlfn.TEXTSPLIT(I19, "[")</f>
        <v>DXR</v>
      </c>
      <c r="M19" t="str">
        <v>PS_MDR]</v>
      </c>
      <c r="O19" t="str">
        <f t="shared" si="0"/>
        <v>PS_MDR</v>
      </c>
      <c r="P19" t="str">
        <f t="shared" si="1"/>
        <v>DXR-TPH</v>
      </c>
      <c r="Q19">
        <f>Table3[[#This Row],[Synergy.score]]</f>
        <v>-1.7090000000000001</v>
      </c>
      <c r="R19">
        <f>Table3[[#This Row],[Most.synergistic.area.score]]</f>
        <v>4.2000000000000003E-2</v>
      </c>
    </row>
    <row r="20" spans="1:18" x14ac:dyDescent="0.35">
      <c r="A20" t="s">
        <v>25</v>
      </c>
      <c r="B20">
        <v>0.246</v>
      </c>
      <c r="C20">
        <v>4.4850000000000003</v>
      </c>
      <c r="D20" t="s">
        <v>7</v>
      </c>
      <c r="F20">
        <v>-0.21199999999999999</v>
      </c>
      <c r="H20" t="str" cm="1">
        <f t="array" ref="H20:I20">_xlfn.TEXTSPLIT(Table3[[#This Row],[Drug.combination]], " - ")</f>
        <v>PMB[SA]</v>
      </c>
      <c r="I20" t="str">
        <v>FOS[SA]</v>
      </c>
      <c r="J20" t="str" cm="1">
        <f t="array" ref="J20:K20">_xlfn.TEXTSPLIT(H20, "[")</f>
        <v>PMB</v>
      </c>
      <c r="K20" t="str">
        <v>SA]</v>
      </c>
      <c r="L20" t="str" cm="1">
        <f t="array" ref="L20:M20">_xlfn.TEXTSPLIT(I20, "[")</f>
        <v>FOS</v>
      </c>
      <c r="M20" t="str">
        <v>SA]</v>
      </c>
      <c r="O20" t="str">
        <f t="shared" si="0"/>
        <v>SA</v>
      </c>
      <c r="P20" t="str">
        <f t="shared" si="1"/>
        <v>FOS-PMB</v>
      </c>
      <c r="Q20">
        <f>Table3[[#This Row],[Synergy.score]]</f>
        <v>0.246</v>
      </c>
      <c r="R20">
        <f>Table3[[#This Row],[Most.synergistic.area.score]]</f>
        <v>4.4850000000000003</v>
      </c>
    </row>
    <row r="21" spans="1:18" x14ac:dyDescent="0.35">
      <c r="A21" t="s">
        <v>26</v>
      </c>
      <c r="B21">
        <v>-8.4760000000000009</v>
      </c>
      <c r="C21">
        <v>3.96</v>
      </c>
      <c r="D21" t="s">
        <v>7</v>
      </c>
      <c r="F21">
        <v>-1.3440000000000001</v>
      </c>
      <c r="H21" t="str" cm="1">
        <f t="array" ref="H21:I21">_xlfn.TEXTSPLIT(Table3[[#This Row],[Drug.combination]], " - ")</f>
        <v>PMB[SE]</v>
      </c>
      <c r="I21" t="str">
        <v>FOS[SE]</v>
      </c>
      <c r="J21" t="str" cm="1">
        <f t="array" ref="J21:K21">_xlfn.TEXTSPLIT(H21, "[")</f>
        <v>PMB</v>
      </c>
      <c r="K21" t="str">
        <v>SE]</v>
      </c>
      <c r="L21" t="str" cm="1">
        <f t="array" ref="L21:M21">_xlfn.TEXTSPLIT(I21, "[")</f>
        <v>FOS</v>
      </c>
      <c r="M21" t="str">
        <v>SE]</v>
      </c>
      <c r="O21" t="str">
        <f t="shared" si="0"/>
        <v>SE</v>
      </c>
      <c r="P21" t="str">
        <f t="shared" si="1"/>
        <v>FOS-PMB</v>
      </c>
      <c r="Q21">
        <f>Table3[[#This Row],[Synergy.score]]</f>
        <v>-8.4760000000000009</v>
      </c>
      <c r="R21">
        <f>Table3[[#This Row],[Most.synergistic.area.score]]</f>
        <v>3.96</v>
      </c>
    </row>
    <row r="22" spans="1:18" x14ac:dyDescent="0.35">
      <c r="A22" t="s">
        <v>27</v>
      </c>
      <c r="B22">
        <v>0.83699999999999997</v>
      </c>
      <c r="C22">
        <v>19.11</v>
      </c>
      <c r="D22" t="s">
        <v>7</v>
      </c>
      <c r="F22">
        <v>0.51400000000000001</v>
      </c>
      <c r="H22" t="str" cm="1">
        <f t="array" ref="H22:I22">_xlfn.TEXTSPLIT(Table3[[#This Row],[Drug.combination]], " - ")</f>
        <v>PMB[PS]</v>
      </c>
      <c r="I22" t="str">
        <v>FOS[PS]</v>
      </c>
      <c r="J22" t="str" cm="1">
        <f t="array" ref="J22:K22">_xlfn.TEXTSPLIT(H22, "[")</f>
        <v>PMB</v>
      </c>
      <c r="K22" t="str">
        <v>PS]</v>
      </c>
      <c r="L22" t="str" cm="1">
        <f t="array" ref="L22:M22">_xlfn.TEXTSPLIT(I22, "[")</f>
        <v>FOS</v>
      </c>
      <c r="M22" t="str">
        <v>PS]</v>
      </c>
      <c r="O22" t="str">
        <f t="shared" si="0"/>
        <v>PS</v>
      </c>
      <c r="P22" t="str">
        <f t="shared" si="1"/>
        <v>FOS-PMB</v>
      </c>
      <c r="Q22">
        <f>Table3[[#This Row],[Synergy.score]]</f>
        <v>0.83699999999999997</v>
      </c>
      <c r="R22">
        <f>Table3[[#This Row],[Most.synergistic.area.score]]</f>
        <v>19.11</v>
      </c>
    </row>
    <row r="23" spans="1:18" x14ac:dyDescent="0.35">
      <c r="A23" t="s">
        <v>28</v>
      </c>
      <c r="B23">
        <v>0.377</v>
      </c>
      <c r="C23">
        <v>17.378</v>
      </c>
      <c r="D23" t="s">
        <v>7</v>
      </c>
      <c r="F23">
        <v>-0.251</v>
      </c>
      <c r="H23" t="str" cm="1">
        <f t="array" ref="H23:I23">_xlfn.TEXTSPLIT(Table3[[#This Row],[Drug.combination]], " - ")</f>
        <v>PMB[PS_MDR]</v>
      </c>
      <c r="I23" t="str">
        <v>FOS[PS_MDR]</v>
      </c>
      <c r="J23" t="str" cm="1">
        <f t="array" ref="J23:K23">_xlfn.TEXTSPLIT(H23, "[")</f>
        <v>PMB</v>
      </c>
      <c r="K23" t="str">
        <v>PS_MDR]</v>
      </c>
      <c r="L23" t="str" cm="1">
        <f t="array" ref="L23:M23">_xlfn.TEXTSPLIT(I23, "[")</f>
        <v>FOS</v>
      </c>
      <c r="M23" t="str">
        <v>PS_MDR]</v>
      </c>
      <c r="O23" t="str">
        <f t="shared" si="0"/>
        <v>PS_MDR</v>
      </c>
      <c r="P23" t="str">
        <f t="shared" si="1"/>
        <v>FOS-PMB</v>
      </c>
      <c r="Q23">
        <f>Table3[[#This Row],[Synergy.score]]</f>
        <v>0.377</v>
      </c>
      <c r="R23">
        <f>Table3[[#This Row],[Most.synergistic.area.score]]</f>
        <v>17.378</v>
      </c>
    </row>
    <row r="24" spans="1:18" x14ac:dyDescent="0.35">
      <c r="A24" t="s">
        <v>29</v>
      </c>
      <c r="B24">
        <v>0.59199999999999997</v>
      </c>
      <c r="C24">
        <v>19.024999999999999</v>
      </c>
      <c r="D24" t="s">
        <v>7</v>
      </c>
      <c r="F24">
        <v>-0.754</v>
      </c>
      <c r="H24" t="str" cm="1">
        <f t="array" ref="H24:I24">_xlfn.TEXTSPLIT(Table3[[#This Row],[Drug.combination]], " - ")</f>
        <v>PUR[SA_ATCC]</v>
      </c>
      <c r="I24" t="str">
        <v>AMK[SA_ATCC]</v>
      </c>
      <c r="J24" t="str" cm="1">
        <f t="array" ref="J24:K24">_xlfn.TEXTSPLIT(H24, "[")</f>
        <v>PUR</v>
      </c>
      <c r="K24" t="str">
        <v>SA_ATCC]</v>
      </c>
      <c r="L24" t="str" cm="1">
        <f t="array" ref="L24:M24">_xlfn.TEXTSPLIT(I24, "[")</f>
        <v>AMK</v>
      </c>
      <c r="M24" t="str">
        <v>SA_ATCC]</v>
      </c>
      <c r="O24" t="str">
        <f t="shared" si="0"/>
        <v>SA_ATCC</v>
      </c>
      <c r="P24" t="str">
        <f t="shared" si="1"/>
        <v>AMK-PUR</v>
      </c>
      <c r="Q24">
        <f>Table3[[#This Row],[Synergy.score]]</f>
        <v>0.59199999999999997</v>
      </c>
      <c r="R24">
        <f>Table3[[#This Row],[Most.synergistic.area.score]]</f>
        <v>19.024999999999999</v>
      </c>
    </row>
    <row r="25" spans="1:18" x14ac:dyDescent="0.35">
      <c r="A25" t="s">
        <v>30</v>
      </c>
      <c r="B25">
        <v>6.6459999999999999</v>
      </c>
      <c r="C25">
        <v>26.712</v>
      </c>
      <c r="D25" t="s">
        <v>7</v>
      </c>
      <c r="F25">
        <v>5.3259999999999996</v>
      </c>
      <c r="H25" t="str" cm="1">
        <f t="array" ref="H25:I25">_xlfn.TEXTSPLIT(Table3[[#This Row],[Drug.combination]], " - ")</f>
        <v>PUR[PS_ATCC]</v>
      </c>
      <c r="I25" t="str">
        <v>AMK[PS_ATCC]</v>
      </c>
      <c r="J25" t="str" cm="1">
        <f t="array" ref="J25:K25">_xlfn.TEXTSPLIT(H25, "[")</f>
        <v>PUR</v>
      </c>
      <c r="K25" t="str">
        <v>PS_ATCC]</v>
      </c>
      <c r="L25" t="str" cm="1">
        <f t="array" ref="L25:M25">_xlfn.TEXTSPLIT(I25, "[")</f>
        <v>AMK</v>
      </c>
      <c r="M25" t="str">
        <v>PS_ATCC]</v>
      </c>
      <c r="O25" t="str">
        <f t="shared" si="0"/>
        <v>PS_ATCC</v>
      </c>
      <c r="P25" t="str">
        <f t="shared" si="1"/>
        <v>AMK-PUR</v>
      </c>
      <c r="Q25">
        <f>Table3[[#This Row],[Synergy.score]]</f>
        <v>6.6459999999999999</v>
      </c>
      <c r="R25">
        <f>Table3[[#This Row],[Most.synergistic.area.score]]</f>
        <v>26.712</v>
      </c>
    </row>
    <row r="26" spans="1:18" x14ac:dyDescent="0.35">
      <c r="A26" t="s">
        <v>31</v>
      </c>
      <c r="B26">
        <v>4.7110000000000003</v>
      </c>
      <c r="C26">
        <v>42.786999999999999</v>
      </c>
      <c r="D26" t="s">
        <v>7</v>
      </c>
      <c r="F26">
        <v>4.9749999999999996</v>
      </c>
      <c r="H26" t="str" cm="1">
        <f t="array" ref="H26:I26">_xlfn.TEXTSPLIT(Table3[[#This Row],[Drug.combination]], " - ")</f>
        <v>PUR[SA]</v>
      </c>
      <c r="I26" t="str">
        <v>AMK[SA]</v>
      </c>
      <c r="J26" t="str" cm="1">
        <f t="array" ref="J26:K26">_xlfn.TEXTSPLIT(H26, "[")</f>
        <v>PUR</v>
      </c>
      <c r="K26" t="str">
        <v>SA]</v>
      </c>
      <c r="L26" t="str" cm="1">
        <f t="array" ref="L26:M26">_xlfn.TEXTSPLIT(I26, "[")</f>
        <v>AMK</v>
      </c>
      <c r="M26" t="str">
        <v>SA]</v>
      </c>
      <c r="O26" t="str">
        <f t="shared" si="0"/>
        <v>SA</v>
      </c>
      <c r="P26" t="str">
        <f t="shared" si="1"/>
        <v>AMK-PUR</v>
      </c>
      <c r="Q26">
        <f>Table3[[#This Row],[Synergy.score]]</f>
        <v>4.7110000000000003</v>
      </c>
      <c r="R26">
        <f>Table3[[#This Row],[Most.synergistic.area.score]]</f>
        <v>42.786999999999999</v>
      </c>
    </row>
    <row r="27" spans="1:18" x14ac:dyDescent="0.35">
      <c r="A27" t="s">
        <v>32</v>
      </c>
      <c r="B27">
        <v>8.0220000000000002</v>
      </c>
      <c r="C27">
        <v>45.854999999999997</v>
      </c>
      <c r="D27" t="s">
        <v>7</v>
      </c>
      <c r="F27">
        <v>5.7530000000000001</v>
      </c>
      <c r="H27" t="str" cm="1">
        <f t="array" ref="H27:I27">_xlfn.TEXTSPLIT(Table3[[#This Row],[Drug.combination]], " - ")</f>
        <v>PUR[SE]</v>
      </c>
      <c r="I27" t="str">
        <v>AMK[SE]</v>
      </c>
      <c r="J27" t="str" cm="1">
        <f t="array" ref="J27:K27">_xlfn.TEXTSPLIT(H27, "[")</f>
        <v>PUR</v>
      </c>
      <c r="K27" t="str">
        <v>SE]</v>
      </c>
      <c r="L27" t="str" cm="1">
        <f t="array" ref="L27:M27">_xlfn.TEXTSPLIT(I27, "[")</f>
        <v>AMK</v>
      </c>
      <c r="M27" t="str">
        <v>SE]</v>
      </c>
      <c r="O27" t="str">
        <f t="shared" si="0"/>
        <v>SE</v>
      </c>
      <c r="P27" t="str">
        <f t="shared" si="1"/>
        <v>AMK-PUR</v>
      </c>
      <c r="Q27">
        <f>Table3[[#This Row],[Synergy.score]]</f>
        <v>8.0220000000000002</v>
      </c>
      <c r="R27">
        <f>Table3[[#This Row],[Most.synergistic.area.score]]</f>
        <v>45.854999999999997</v>
      </c>
    </row>
    <row r="28" spans="1:18" x14ac:dyDescent="0.35">
      <c r="A28" t="s">
        <v>33</v>
      </c>
      <c r="B28">
        <v>1.034</v>
      </c>
      <c r="C28">
        <v>12.334</v>
      </c>
      <c r="D28" t="s">
        <v>7</v>
      </c>
      <c r="F28">
        <v>0.85</v>
      </c>
      <c r="H28" t="str" cm="1">
        <f t="array" ref="H28:I28">_xlfn.TEXTSPLIT(Table3[[#This Row],[Drug.combination]], " - ")</f>
        <v>PUR[PS]</v>
      </c>
      <c r="I28" t="str">
        <v>AMK[PS]</v>
      </c>
      <c r="J28" t="str" cm="1">
        <f t="array" ref="J28:K28">_xlfn.TEXTSPLIT(H28, "[")</f>
        <v>PUR</v>
      </c>
      <c r="K28" t="str">
        <v>PS]</v>
      </c>
      <c r="L28" t="str" cm="1">
        <f t="array" ref="L28:M28">_xlfn.TEXTSPLIT(I28, "[")</f>
        <v>AMK</v>
      </c>
      <c r="M28" t="str">
        <v>PS]</v>
      </c>
      <c r="O28" t="str">
        <f t="shared" si="0"/>
        <v>PS</v>
      </c>
      <c r="P28" t="str">
        <f t="shared" si="1"/>
        <v>AMK-PUR</v>
      </c>
      <c r="Q28">
        <f>Table3[[#This Row],[Synergy.score]]</f>
        <v>1.034</v>
      </c>
      <c r="R28">
        <f>Table3[[#This Row],[Most.synergistic.area.score]]</f>
        <v>12.334</v>
      </c>
    </row>
    <row r="29" spans="1:18" x14ac:dyDescent="0.35">
      <c r="A29" t="s">
        <v>34</v>
      </c>
      <c r="B29">
        <v>-1.4470000000000001</v>
      </c>
      <c r="C29">
        <v>-0.34399999999999997</v>
      </c>
      <c r="D29" t="s">
        <v>7</v>
      </c>
      <c r="F29">
        <v>-1.4239999999999999</v>
      </c>
      <c r="H29" t="str" cm="1">
        <f t="array" ref="H29:I29">_xlfn.TEXTSPLIT(Table3[[#This Row],[Drug.combination]], " - ")</f>
        <v>PUR[PS_MDR]</v>
      </c>
      <c r="I29" t="str">
        <v>AMK[PS_MDR]</v>
      </c>
      <c r="J29" t="str" cm="1">
        <f t="array" ref="J29:K29">_xlfn.TEXTSPLIT(H29, "[")</f>
        <v>PUR</v>
      </c>
      <c r="K29" t="str">
        <v>PS_MDR]</v>
      </c>
      <c r="L29" t="str" cm="1">
        <f t="array" ref="L29:M29">_xlfn.TEXTSPLIT(I29, "[")</f>
        <v>AMK</v>
      </c>
      <c r="M29" t="str">
        <v>PS_MDR]</v>
      </c>
      <c r="O29" t="str">
        <f t="shared" si="0"/>
        <v>PS_MDR</v>
      </c>
      <c r="P29" t="str">
        <f t="shared" si="1"/>
        <v>AMK-PUR</v>
      </c>
      <c r="Q29">
        <f>Table3[[#This Row],[Synergy.score]]</f>
        <v>-1.4470000000000001</v>
      </c>
      <c r="R29">
        <f>Table3[[#This Row],[Most.synergistic.area.score]]</f>
        <v>-0.34399999999999997</v>
      </c>
    </row>
    <row r="30" spans="1:18" x14ac:dyDescent="0.35">
      <c r="A30" t="s">
        <v>35</v>
      </c>
      <c r="B30">
        <v>-0.41699999999999998</v>
      </c>
      <c r="C30">
        <v>1.5589999999999999</v>
      </c>
      <c r="D30" t="s">
        <v>7</v>
      </c>
      <c r="F30">
        <v>1.6E-2</v>
      </c>
      <c r="H30" t="str" cm="1">
        <f t="array" ref="H30:I30">_xlfn.TEXTSPLIT(Table3[[#This Row],[Drug.combination]], " - ")</f>
        <v>CFZ[SA]</v>
      </c>
      <c r="I30" t="str">
        <v>AMP[SA]</v>
      </c>
      <c r="J30" t="str" cm="1">
        <f t="array" ref="J30:K30">_xlfn.TEXTSPLIT(H30, "[")</f>
        <v>CFZ</v>
      </c>
      <c r="K30" t="str">
        <v>SA]</v>
      </c>
      <c r="L30" t="str" cm="1">
        <f t="array" ref="L30:M30">_xlfn.TEXTSPLIT(I30, "[")</f>
        <v>AMP</v>
      </c>
      <c r="M30" t="str">
        <v>SA]</v>
      </c>
      <c r="O30" t="str">
        <f t="shared" si="0"/>
        <v>SA</v>
      </c>
      <c r="P30" t="str">
        <f t="shared" si="1"/>
        <v>AMP-CFZ</v>
      </c>
      <c r="Q30">
        <f>Table3[[#This Row],[Synergy.score]]</f>
        <v>-0.41699999999999998</v>
      </c>
      <c r="R30">
        <f>Table3[[#This Row],[Most.synergistic.area.score]]</f>
        <v>1.5589999999999999</v>
      </c>
    </row>
    <row r="31" spans="1:18" x14ac:dyDescent="0.35">
      <c r="A31" t="s">
        <v>36</v>
      </c>
      <c r="B31">
        <v>8.2970000000000006</v>
      </c>
      <c r="C31">
        <v>40.718000000000004</v>
      </c>
      <c r="D31" t="s">
        <v>7</v>
      </c>
      <c r="F31">
        <v>7.0190000000000001</v>
      </c>
      <c r="H31" t="str" cm="1">
        <f t="array" ref="H31:I31">_xlfn.TEXTSPLIT(Table3[[#This Row],[Drug.combination]], " - ")</f>
        <v>CFZ[SE]</v>
      </c>
      <c r="I31" t="str">
        <v>AMP[SE]</v>
      </c>
      <c r="J31" t="str" cm="1">
        <f t="array" ref="J31:K31">_xlfn.TEXTSPLIT(H31, "[")</f>
        <v>CFZ</v>
      </c>
      <c r="K31" t="str">
        <v>SE]</v>
      </c>
      <c r="L31" t="str" cm="1">
        <f t="array" ref="L31:M31">_xlfn.TEXTSPLIT(I31, "[")</f>
        <v>AMP</v>
      </c>
      <c r="M31" t="str">
        <v>SE]</v>
      </c>
      <c r="O31" t="str">
        <f t="shared" si="0"/>
        <v>SE</v>
      </c>
      <c r="P31" t="str">
        <f t="shared" si="1"/>
        <v>AMP-CFZ</v>
      </c>
      <c r="Q31">
        <f>Table3[[#This Row],[Synergy.score]]</f>
        <v>8.2970000000000006</v>
      </c>
      <c r="R31">
        <f>Table3[[#This Row],[Most.synergistic.area.score]]</f>
        <v>40.718000000000004</v>
      </c>
    </row>
    <row r="32" spans="1:18" x14ac:dyDescent="0.35">
      <c r="A32" t="s">
        <v>37</v>
      </c>
      <c r="B32">
        <v>-5.7009999999999996</v>
      </c>
      <c r="C32">
        <v>8.5999999999999993E-2</v>
      </c>
      <c r="D32" t="s">
        <v>7</v>
      </c>
      <c r="F32">
        <v>-3.851</v>
      </c>
      <c r="H32" t="str" cm="1">
        <f t="array" ref="H32:I32">_xlfn.TEXTSPLIT(Table3[[#This Row],[Drug.combination]], " - ")</f>
        <v>CFZ[PS]</v>
      </c>
      <c r="I32" t="str">
        <v>AMP[PS]</v>
      </c>
      <c r="J32" t="str" cm="1">
        <f t="array" ref="J32:K32">_xlfn.TEXTSPLIT(H32, "[")</f>
        <v>CFZ</v>
      </c>
      <c r="K32" t="str">
        <v>PS]</v>
      </c>
      <c r="L32" t="str" cm="1">
        <f t="array" ref="L32:M32">_xlfn.TEXTSPLIT(I32, "[")</f>
        <v>AMP</v>
      </c>
      <c r="M32" t="str">
        <v>PS]</v>
      </c>
      <c r="O32" t="str">
        <f t="shared" si="0"/>
        <v>PS</v>
      </c>
      <c r="P32" t="str">
        <f t="shared" si="1"/>
        <v>AMP-CFZ</v>
      </c>
      <c r="Q32">
        <f>Table3[[#This Row],[Synergy.score]]</f>
        <v>-5.7009999999999996</v>
      </c>
      <c r="R32">
        <f>Table3[[#This Row],[Most.synergistic.area.score]]</f>
        <v>8.5999999999999993E-2</v>
      </c>
    </row>
    <row r="33" spans="1:18" x14ac:dyDescent="0.35">
      <c r="A33" t="s">
        <v>38</v>
      </c>
      <c r="B33">
        <v>-1.1930000000000001</v>
      </c>
      <c r="C33">
        <v>0.51600000000000001</v>
      </c>
      <c r="D33" t="s">
        <v>7</v>
      </c>
      <c r="F33">
        <v>-1.19</v>
      </c>
      <c r="H33" t="str" cm="1">
        <f t="array" ref="H33:I33">_xlfn.TEXTSPLIT(Table3[[#This Row],[Drug.combination]], " - ")</f>
        <v>CFZ[PS_MDR]</v>
      </c>
      <c r="I33" t="str">
        <v>AMP[PS_MDR]</v>
      </c>
      <c r="J33" t="str" cm="1">
        <f t="array" ref="J33:K33">_xlfn.TEXTSPLIT(H33, "[")</f>
        <v>CFZ</v>
      </c>
      <c r="K33" t="str">
        <v>PS_MDR]</v>
      </c>
      <c r="L33" t="str" cm="1">
        <f t="array" ref="L33:M33">_xlfn.TEXTSPLIT(I33, "[")</f>
        <v>AMP</v>
      </c>
      <c r="M33" t="str">
        <v>PS_MDR]</v>
      </c>
      <c r="O33" t="str">
        <f t="shared" si="0"/>
        <v>PS_MDR</v>
      </c>
      <c r="P33" t="str">
        <f t="shared" si="1"/>
        <v>AMP-CFZ</v>
      </c>
      <c r="Q33">
        <f>Table3[[#This Row],[Synergy.score]]</f>
        <v>-1.1930000000000001</v>
      </c>
      <c r="R33">
        <f>Table3[[#This Row],[Most.synergistic.area.score]]</f>
        <v>0.51600000000000001</v>
      </c>
    </row>
    <row r="34" spans="1:18" x14ac:dyDescent="0.35">
      <c r="A34" t="s">
        <v>39</v>
      </c>
      <c r="B34">
        <v>-0.03</v>
      </c>
      <c r="C34">
        <v>2.8140000000000001</v>
      </c>
      <c r="D34" t="s">
        <v>7</v>
      </c>
      <c r="F34">
        <v>0.184</v>
      </c>
      <c r="H34" t="str" cm="1">
        <f t="array" ref="H34:I34">_xlfn.TEXTSPLIT(Table3[[#This Row],[Drug.combination]], " - ")</f>
        <v>CEF[SA]</v>
      </c>
      <c r="I34" t="str">
        <v>AMX[SA]</v>
      </c>
      <c r="J34" t="str" cm="1">
        <f t="array" ref="J34:K34">_xlfn.TEXTSPLIT(H34, "[")</f>
        <v>CEF</v>
      </c>
      <c r="K34" t="str">
        <v>SA]</v>
      </c>
      <c r="L34" t="str" cm="1">
        <f t="array" ref="L34:M34">_xlfn.TEXTSPLIT(I34, "[")</f>
        <v>AMX</v>
      </c>
      <c r="M34" t="str">
        <v>SA]</v>
      </c>
      <c r="O34" t="str">
        <f t="shared" si="0"/>
        <v>SA</v>
      </c>
      <c r="P34" t="str">
        <f t="shared" si="1"/>
        <v>AMX-CEF</v>
      </c>
      <c r="Q34">
        <f>Table3[[#This Row],[Synergy.score]]</f>
        <v>-0.03</v>
      </c>
      <c r="R34">
        <f>Table3[[#This Row],[Most.synergistic.area.score]]</f>
        <v>2.8140000000000001</v>
      </c>
    </row>
    <row r="35" spans="1:18" x14ac:dyDescent="0.35">
      <c r="A35" t="s">
        <v>40</v>
      </c>
      <c r="B35">
        <v>-1.5209999999999999</v>
      </c>
      <c r="C35">
        <v>36.183999999999997</v>
      </c>
      <c r="D35" t="s">
        <v>7</v>
      </c>
      <c r="F35">
        <v>-2.0249999999999999</v>
      </c>
      <c r="H35" t="str" cm="1">
        <f t="array" ref="H35:I35">_xlfn.TEXTSPLIT(Table3[[#This Row],[Drug.combination]], " - ")</f>
        <v>CEF[SE]</v>
      </c>
      <c r="I35" t="str">
        <v>AMX[SE]</v>
      </c>
      <c r="J35" t="str" cm="1">
        <f t="array" ref="J35:K35">_xlfn.TEXTSPLIT(H35, "[")</f>
        <v>CEF</v>
      </c>
      <c r="K35" t="str">
        <v>SE]</v>
      </c>
      <c r="L35" t="str" cm="1">
        <f t="array" ref="L35:M35">_xlfn.TEXTSPLIT(I35, "[")</f>
        <v>AMX</v>
      </c>
      <c r="M35" t="str">
        <v>SE]</v>
      </c>
      <c r="O35" t="str">
        <f t="shared" si="0"/>
        <v>SE</v>
      </c>
      <c r="P35" t="str">
        <f t="shared" si="1"/>
        <v>AMX-CEF</v>
      </c>
      <c r="Q35">
        <f>Table3[[#This Row],[Synergy.score]]</f>
        <v>-1.5209999999999999</v>
      </c>
      <c r="R35">
        <f>Table3[[#This Row],[Most.synergistic.area.score]]</f>
        <v>36.183999999999997</v>
      </c>
    </row>
    <row r="36" spans="1:18" x14ac:dyDescent="0.35">
      <c r="A36" t="s">
        <v>41</v>
      </c>
      <c r="B36">
        <v>-3.4289999999999998</v>
      </c>
      <c r="C36">
        <v>3.3679999999999999</v>
      </c>
      <c r="D36" t="s">
        <v>7</v>
      </c>
      <c r="F36">
        <v>-3.1640000000000001</v>
      </c>
      <c r="H36" t="str" cm="1">
        <f t="array" ref="H36:I36">_xlfn.TEXTSPLIT(Table3[[#This Row],[Drug.combination]], " - ")</f>
        <v>CEF[PS]</v>
      </c>
      <c r="I36" t="str">
        <v>AMX[PS]</v>
      </c>
      <c r="J36" t="str" cm="1">
        <f t="array" ref="J36:K36">_xlfn.TEXTSPLIT(H36, "[")</f>
        <v>CEF</v>
      </c>
      <c r="K36" t="str">
        <v>PS]</v>
      </c>
      <c r="L36" t="str" cm="1">
        <f t="array" ref="L36:M36">_xlfn.TEXTSPLIT(I36, "[")</f>
        <v>AMX</v>
      </c>
      <c r="M36" t="str">
        <v>PS]</v>
      </c>
      <c r="O36" t="str">
        <f t="shared" si="0"/>
        <v>PS</v>
      </c>
      <c r="P36" t="str">
        <f t="shared" si="1"/>
        <v>AMX-CEF</v>
      </c>
      <c r="Q36">
        <f>Table3[[#This Row],[Synergy.score]]</f>
        <v>-3.4289999999999998</v>
      </c>
      <c r="R36">
        <f>Table3[[#This Row],[Most.synergistic.area.score]]</f>
        <v>3.3679999999999999</v>
      </c>
    </row>
    <row r="37" spans="1:18" x14ac:dyDescent="0.35">
      <c r="A37" t="s">
        <v>42</v>
      </c>
      <c r="B37">
        <v>-3.99</v>
      </c>
      <c r="C37">
        <v>-0.95299999999999996</v>
      </c>
      <c r="D37" t="s">
        <v>7</v>
      </c>
      <c r="F37">
        <v>-3.7240000000000002</v>
      </c>
      <c r="H37" t="str" cm="1">
        <f t="array" ref="H37:I37">_xlfn.TEXTSPLIT(Table3[[#This Row],[Drug.combination]], " - ")</f>
        <v>CEF[PS_MDR]</v>
      </c>
      <c r="I37" t="str">
        <v>AMX[PS_MDR]</v>
      </c>
      <c r="J37" t="str" cm="1">
        <f t="array" ref="J37:K37">_xlfn.TEXTSPLIT(H37, "[")</f>
        <v>CEF</v>
      </c>
      <c r="K37" t="str">
        <v>PS_MDR]</v>
      </c>
      <c r="L37" t="str" cm="1">
        <f t="array" ref="L37:M37">_xlfn.TEXTSPLIT(I37, "[")</f>
        <v>AMX</v>
      </c>
      <c r="M37" t="str">
        <v>PS_MDR]</v>
      </c>
      <c r="O37" t="str">
        <f t="shared" si="0"/>
        <v>PS_MDR</v>
      </c>
      <c r="P37" t="str">
        <f t="shared" si="1"/>
        <v>AMX-CEF</v>
      </c>
      <c r="Q37">
        <f>Table3[[#This Row],[Synergy.score]]</f>
        <v>-3.99</v>
      </c>
      <c r="R37">
        <f>Table3[[#This Row],[Most.synergistic.area.score]]</f>
        <v>-0.95299999999999996</v>
      </c>
    </row>
    <row r="38" spans="1:18" x14ac:dyDescent="0.35">
      <c r="A38" t="s">
        <v>43</v>
      </c>
      <c r="B38">
        <v>-1.0469999999999999</v>
      </c>
      <c r="C38">
        <v>2.8000000000000001E-2</v>
      </c>
      <c r="D38" t="s">
        <v>7</v>
      </c>
      <c r="F38">
        <v>-0.17899999999999999</v>
      </c>
      <c r="H38" t="str" cm="1">
        <f t="array" ref="H38:I38">_xlfn.TEXTSPLIT(Table3[[#This Row],[Drug.combination]], " - ")</f>
        <v>CER[SA]</v>
      </c>
      <c r="I38" t="str">
        <v>AMX[SA]</v>
      </c>
      <c r="J38" t="str" cm="1">
        <f t="array" ref="J38:K38">_xlfn.TEXTSPLIT(H38, "[")</f>
        <v>CER</v>
      </c>
      <c r="K38" t="str">
        <v>SA]</v>
      </c>
      <c r="L38" t="str" cm="1">
        <f t="array" ref="L38:M38">_xlfn.TEXTSPLIT(I38, "[")</f>
        <v>AMX</v>
      </c>
      <c r="M38" t="str">
        <v>SA]</v>
      </c>
      <c r="O38" t="str">
        <f t="shared" si="0"/>
        <v>SA</v>
      </c>
      <c r="P38" t="str">
        <f t="shared" si="1"/>
        <v>AMX-CER</v>
      </c>
      <c r="Q38">
        <f>Table3[[#This Row],[Synergy.score]]</f>
        <v>-1.0469999999999999</v>
      </c>
      <c r="R38">
        <f>Table3[[#This Row],[Most.synergistic.area.score]]</f>
        <v>2.8000000000000001E-2</v>
      </c>
    </row>
    <row r="39" spans="1:18" x14ac:dyDescent="0.35">
      <c r="A39" t="s">
        <v>44</v>
      </c>
      <c r="B39">
        <v>-4.1959999999999997</v>
      </c>
      <c r="C39">
        <v>17.324999999999999</v>
      </c>
      <c r="D39" t="s">
        <v>7</v>
      </c>
      <c r="F39">
        <v>-4.5199999999999996</v>
      </c>
      <c r="H39" t="str" cm="1">
        <f t="array" ref="H39:I39">_xlfn.TEXTSPLIT(Table3[[#This Row],[Drug.combination]], " - ")</f>
        <v>CER[SE]</v>
      </c>
      <c r="I39" t="str">
        <v>AMX[SE]</v>
      </c>
      <c r="J39" t="str" cm="1">
        <f t="array" ref="J39:K39">_xlfn.TEXTSPLIT(H39, "[")</f>
        <v>CER</v>
      </c>
      <c r="K39" t="str">
        <v>SE]</v>
      </c>
      <c r="L39" t="str" cm="1">
        <f t="array" ref="L39:M39">_xlfn.TEXTSPLIT(I39, "[")</f>
        <v>AMX</v>
      </c>
      <c r="M39" t="str">
        <v>SE]</v>
      </c>
      <c r="O39" t="str">
        <f t="shared" si="0"/>
        <v>SE</v>
      </c>
      <c r="P39" t="str">
        <f t="shared" si="1"/>
        <v>AMX-CER</v>
      </c>
      <c r="Q39">
        <f>Table3[[#This Row],[Synergy.score]]</f>
        <v>-4.1959999999999997</v>
      </c>
      <c r="R39">
        <f>Table3[[#This Row],[Most.synergistic.area.score]]</f>
        <v>17.324999999999999</v>
      </c>
    </row>
    <row r="40" spans="1:18" x14ac:dyDescent="0.35">
      <c r="A40" t="s">
        <v>45</v>
      </c>
      <c r="B40">
        <v>-6.5830000000000002</v>
      </c>
      <c r="C40">
        <v>-0.67900000000000005</v>
      </c>
      <c r="D40" t="s">
        <v>7</v>
      </c>
      <c r="F40">
        <v>-5.9089999999999998</v>
      </c>
      <c r="H40" t="str" cm="1">
        <f t="array" ref="H40:I40">_xlfn.TEXTSPLIT(Table3[[#This Row],[Drug.combination]], " - ")</f>
        <v>CER[PS]</v>
      </c>
      <c r="I40" t="str">
        <v>AMX[PS]</v>
      </c>
      <c r="J40" t="str" cm="1">
        <f t="array" ref="J40:K40">_xlfn.TEXTSPLIT(H40, "[")</f>
        <v>CER</v>
      </c>
      <c r="K40" t="str">
        <v>PS]</v>
      </c>
      <c r="L40" t="str" cm="1">
        <f t="array" ref="L40:M40">_xlfn.TEXTSPLIT(I40, "[")</f>
        <v>AMX</v>
      </c>
      <c r="M40" t="str">
        <v>PS]</v>
      </c>
      <c r="O40" t="str">
        <f t="shared" si="0"/>
        <v>PS</v>
      </c>
      <c r="P40" t="str">
        <f t="shared" si="1"/>
        <v>AMX-CER</v>
      </c>
      <c r="Q40">
        <f>Table3[[#This Row],[Synergy.score]]</f>
        <v>-6.5830000000000002</v>
      </c>
      <c r="R40">
        <f>Table3[[#This Row],[Most.synergistic.area.score]]</f>
        <v>-0.67900000000000005</v>
      </c>
    </row>
    <row r="41" spans="1:18" x14ac:dyDescent="0.35">
      <c r="A41" t="s">
        <v>46</v>
      </c>
      <c r="B41">
        <v>-0.56200000000000006</v>
      </c>
      <c r="C41">
        <v>1.29</v>
      </c>
      <c r="D41" t="s">
        <v>7</v>
      </c>
      <c r="F41">
        <v>-0.56599999999999995</v>
      </c>
      <c r="H41" t="str" cm="1">
        <f t="array" ref="H41:I41">_xlfn.TEXTSPLIT(Table3[[#This Row],[Drug.combination]], " - ")</f>
        <v>CER[PS_MDR]</v>
      </c>
      <c r="I41" t="str">
        <v>AMX[PS_MDR]</v>
      </c>
      <c r="J41" t="str" cm="1">
        <f t="array" ref="J41:K41">_xlfn.TEXTSPLIT(H41, "[")</f>
        <v>CER</v>
      </c>
      <c r="K41" t="str">
        <v>PS_MDR]</v>
      </c>
      <c r="L41" t="str" cm="1">
        <f t="array" ref="L41:M41">_xlfn.TEXTSPLIT(I41, "[")</f>
        <v>AMX</v>
      </c>
      <c r="M41" t="str">
        <v>PS_MDR]</v>
      </c>
      <c r="O41" t="str">
        <f t="shared" si="0"/>
        <v>PS_MDR</v>
      </c>
      <c r="P41" t="str">
        <f t="shared" si="1"/>
        <v>AMX-CER</v>
      </c>
      <c r="Q41">
        <f>Table3[[#This Row],[Synergy.score]]</f>
        <v>-0.56200000000000006</v>
      </c>
      <c r="R41">
        <f>Table3[[#This Row],[Most.synergistic.area.score]]</f>
        <v>1.29</v>
      </c>
    </row>
    <row r="42" spans="1:18" x14ac:dyDescent="0.35">
      <c r="A42" t="s">
        <v>47</v>
      </c>
      <c r="B42">
        <v>-1.462</v>
      </c>
      <c r="C42">
        <v>1.0109999999999999</v>
      </c>
      <c r="D42" t="s">
        <v>7</v>
      </c>
      <c r="F42">
        <v>-0.36499999999999999</v>
      </c>
      <c r="H42" t="str" cm="1">
        <f t="array" ref="H42:I42">_xlfn.TEXTSPLIT(Table3[[#This Row],[Drug.combination]], " - ")</f>
        <v>CFX[SA]</v>
      </c>
      <c r="I42" t="str">
        <v>AMX[SA]</v>
      </c>
      <c r="J42" t="str" cm="1">
        <f t="array" ref="J42:K42">_xlfn.TEXTSPLIT(H42, "[")</f>
        <v>CFX</v>
      </c>
      <c r="K42" t="str">
        <v>SA]</v>
      </c>
      <c r="L42" t="str" cm="1">
        <f t="array" ref="L42:M42">_xlfn.TEXTSPLIT(I42, "[")</f>
        <v>AMX</v>
      </c>
      <c r="M42" t="str">
        <v>SA]</v>
      </c>
      <c r="O42" t="str">
        <f t="shared" si="0"/>
        <v>SA</v>
      </c>
      <c r="P42" t="str">
        <f t="shared" si="1"/>
        <v>AMX-CFX</v>
      </c>
      <c r="Q42">
        <f>Table3[[#This Row],[Synergy.score]]</f>
        <v>-1.462</v>
      </c>
      <c r="R42">
        <f>Table3[[#This Row],[Most.synergistic.area.score]]</f>
        <v>1.0109999999999999</v>
      </c>
    </row>
    <row r="43" spans="1:18" x14ac:dyDescent="0.35">
      <c r="A43" t="s">
        <v>48</v>
      </c>
      <c r="B43">
        <v>7.84</v>
      </c>
      <c r="C43">
        <v>41.863999999999997</v>
      </c>
      <c r="D43" t="s">
        <v>7</v>
      </c>
      <c r="F43">
        <v>4.8650000000000002</v>
      </c>
      <c r="H43" t="str" cm="1">
        <f t="array" ref="H43:I43">_xlfn.TEXTSPLIT(Table3[[#This Row],[Drug.combination]], " - ")</f>
        <v>CFX[SE]</v>
      </c>
      <c r="I43" t="str">
        <v>AMX[SE]</v>
      </c>
      <c r="J43" t="str" cm="1">
        <f t="array" ref="J43:K43">_xlfn.TEXTSPLIT(H43, "[")</f>
        <v>CFX</v>
      </c>
      <c r="K43" t="str">
        <v>SE]</v>
      </c>
      <c r="L43" t="str" cm="1">
        <f t="array" ref="L43:M43">_xlfn.TEXTSPLIT(I43, "[")</f>
        <v>AMX</v>
      </c>
      <c r="M43" t="str">
        <v>SE]</v>
      </c>
      <c r="O43" t="str">
        <f t="shared" si="0"/>
        <v>SE</v>
      </c>
      <c r="P43" t="str">
        <f t="shared" si="1"/>
        <v>AMX-CFX</v>
      </c>
      <c r="Q43">
        <f>Table3[[#This Row],[Synergy.score]]</f>
        <v>7.84</v>
      </c>
      <c r="R43">
        <f>Table3[[#This Row],[Most.synergistic.area.score]]</f>
        <v>41.863999999999997</v>
      </c>
    </row>
    <row r="44" spans="1:18" x14ac:dyDescent="0.35">
      <c r="A44" t="s">
        <v>49</v>
      </c>
      <c r="B44">
        <v>-4.2759999999999998</v>
      </c>
      <c r="C44">
        <v>-8.9999999999999993E-3</v>
      </c>
      <c r="D44" t="s">
        <v>7</v>
      </c>
      <c r="F44">
        <v>-3.996</v>
      </c>
      <c r="H44" t="str" cm="1">
        <f t="array" ref="H44:I44">_xlfn.TEXTSPLIT(Table3[[#This Row],[Drug.combination]], " - ")</f>
        <v>CFX[PS]</v>
      </c>
      <c r="I44" t="str">
        <v>AMX[PS]</v>
      </c>
      <c r="J44" t="str" cm="1">
        <f t="array" ref="J44:K44">_xlfn.TEXTSPLIT(H44, "[")</f>
        <v>CFX</v>
      </c>
      <c r="K44" t="str">
        <v>PS]</v>
      </c>
      <c r="L44" t="str" cm="1">
        <f t="array" ref="L44:M44">_xlfn.TEXTSPLIT(I44, "[")</f>
        <v>AMX</v>
      </c>
      <c r="M44" t="str">
        <v>PS]</v>
      </c>
      <c r="O44" t="str">
        <f t="shared" si="0"/>
        <v>PS</v>
      </c>
      <c r="P44" t="str">
        <f t="shared" si="1"/>
        <v>AMX-CFX</v>
      </c>
      <c r="Q44">
        <f>Table3[[#This Row],[Synergy.score]]</f>
        <v>-4.2759999999999998</v>
      </c>
      <c r="R44">
        <f>Table3[[#This Row],[Most.synergistic.area.score]]</f>
        <v>-8.9999999999999993E-3</v>
      </c>
    </row>
    <row r="45" spans="1:18" x14ac:dyDescent="0.35">
      <c r="A45" t="s">
        <v>50</v>
      </c>
      <c r="B45">
        <v>-1.8839999999999999</v>
      </c>
      <c r="C45">
        <v>0.06</v>
      </c>
      <c r="D45" t="s">
        <v>7</v>
      </c>
      <c r="F45">
        <v>-1.859</v>
      </c>
      <c r="H45" t="str" cm="1">
        <f t="array" ref="H45:I45">_xlfn.TEXTSPLIT(Table3[[#This Row],[Drug.combination]], " - ")</f>
        <v>CFX[PS_MDR]</v>
      </c>
      <c r="I45" t="str">
        <v>AMX[PS_MDR]</v>
      </c>
      <c r="J45" t="str" cm="1">
        <f t="array" ref="J45:K45">_xlfn.TEXTSPLIT(H45, "[")</f>
        <v>CFX</v>
      </c>
      <c r="K45" t="str">
        <v>PS_MDR]</v>
      </c>
      <c r="L45" t="str" cm="1">
        <f t="array" ref="L45:M45">_xlfn.TEXTSPLIT(I45, "[")</f>
        <v>AMX</v>
      </c>
      <c r="M45" t="str">
        <v>PS_MDR]</v>
      </c>
      <c r="O45" t="str">
        <f t="shared" si="0"/>
        <v>PS_MDR</v>
      </c>
      <c r="P45" t="str">
        <f t="shared" si="1"/>
        <v>AMX-CFX</v>
      </c>
      <c r="Q45">
        <f>Table3[[#This Row],[Synergy.score]]</f>
        <v>-1.8839999999999999</v>
      </c>
      <c r="R45">
        <f>Table3[[#This Row],[Most.synergistic.area.score]]</f>
        <v>0.06</v>
      </c>
    </row>
    <row r="46" spans="1:18" x14ac:dyDescent="0.35">
      <c r="A46" t="s">
        <v>51</v>
      </c>
      <c r="B46">
        <v>5.2169999999999996</v>
      </c>
      <c r="C46">
        <v>16.173999999999999</v>
      </c>
      <c r="D46" t="s">
        <v>7</v>
      </c>
      <c r="F46">
        <v>4.8000000000000001E-2</v>
      </c>
      <c r="H46" t="str" cm="1">
        <f t="array" ref="H46:I46">_xlfn.TEXTSPLIT(Table3[[#This Row],[Drug.combination]], " - ")</f>
        <v>EGCG[SA_ATCC]</v>
      </c>
      <c r="I46" t="str">
        <v>AMX[SA_ATCC]</v>
      </c>
      <c r="J46" t="str" cm="1">
        <f t="array" ref="J46:K46">_xlfn.TEXTSPLIT(H46, "[")</f>
        <v>EGCG</v>
      </c>
      <c r="K46" t="str">
        <v>SA_ATCC]</v>
      </c>
      <c r="L46" t="str" cm="1">
        <f t="array" ref="L46:M46">_xlfn.TEXTSPLIT(I46, "[")</f>
        <v>AMX</v>
      </c>
      <c r="M46" t="str">
        <v>SA_ATCC]</v>
      </c>
      <c r="O46" t="str">
        <f t="shared" si="0"/>
        <v>SA_ATCC</v>
      </c>
      <c r="P46" t="str">
        <f t="shared" si="1"/>
        <v>AMX-EGCG</v>
      </c>
      <c r="Q46">
        <f>Table3[[#This Row],[Synergy.score]]</f>
        <v>5.2169999999999996</v>
      </c>
      <c r="R46">
        <f>Table3[[#This Row],[Most.synergistic.area.score]]</f>
        <v>16.173999999999999</v>
      </c>
    </row>
    <row r="47" spans="1:18" x14ac:dyDescent="0.35">
      <c r="A47" t="s">
        <v>52</v>
      </c>
      <c r="B47">
        <v>-2.3069999999999999</v>
      </c>
      <c r="C47">
        <v>0.81</v>
      </c>
      <c r="D47" t="s">
        <v>7</v>
      </c>
      <c r="F47">
        <v>-2.0550000000000002</v>
      </c>
      <c r="H47" t="str" cm="1">
        <f t="array" ref="H47:I47">_xlfn.TEXTSPLIT(Table3[[#This Row],[Drug.combination]], " - ")</f>
        <v>EGCG[PS_ATCC]</v>
      </c>
      <c r="I47" t="str">
        <v>AMX[PS_ATCC]</v>
      </c>
      <c r="J47" t="str" cm="1">
        <f t="array" ref="J47:K47">_xlfn.TEXTSPLIT(H47, "[")</f>
        <v>EGCG</v>
      </c>
      <c r="K47" t="str">
        <v>PS_ATCC]</v>
      </c>
      <c r="L47" t="str" cm="1">
        <f t="array" ref="L47:M47">_xlfn.TEXTSPLIT(I47, "[")</f>
        <v>AMX</v>
      </c>
      <c r="M47" t="str">
        <v>PS_ATCC]</v>
      </c>
      <c r="O47" t="str">
        <f t="shared" si="0"/>
        <v>PS_ATCC</v>
      </c>
      <c r="P47" t="str">
        <f t="shared" si="1"/>
        <v>AMX-EGCG</v>
      </c>
      <c r="Q47">
        <f>Table3[[#This Row],[Synergy.score]]</f>
        <v>-2.3069999999999999</v>
      </c>
      <c r="R47">
        <f>Table3[[#This Row],[Most.synergistic.area.score]]</f>
        <v>0.81</v>
      </c>
    </row>
    <row r="48" spans="1:18" x14ac:dyDescent="0.35">
      <c r="A48" t="s">
        <v>53</v>
      </c>
      <c r="B48">
        <v>-1.25</v>
      </c>
      <c r="C48">
        <v>1.488</v>
      </c>
      <c r="D48" t="s">
        <v>7</v>
      </c>
      <c r="F48">
        <v>-0.247</v>
      </c>
      <c r="H48" t="str" cm="1">
        <f t="array" ref="H48:I48">_xlfn.TEXTSPLIT(Table3[[#This Row],[Drug.combination]], " - ")</f>
        <v>EGCG[SA]</v>
      </c>
      <c r="I48" t="str">
        <v>AMX[SA]</v>
      </c>
      <c r="J48" t="str" cm="1">
        <f t="array" ref="J48:K48">_xlfn.TEXTSPLIT(H48, "[")</f>
        <v>EGCG</v>
      </c>
      <c r="K48" t="str">
        <v>SA]</v>
      </c>
      <c r="L48" t="str" cm="1">
        <f t="array" ref="L48:M48">_xlfn.TEXTSPLIT(I48, "[")</f>
        <v>AMX</v>
      </c>
      <c r="M48" t="str">
        <v>SA]</v>
      </c>
      <c r="O48" t="str">
        <f t="shared" si="0"/>
        <v>SA</v>
      </c>
      <c r="P48" t="str">
        <f t="shared" si="1"/>
        <v>AMX-EGCG</v>
      </c>
      <c r="Q48">
        <f>Table3[[#This Row],[Synergy.score]]</f>
        <v>-1.25</v>
      </c>
      <c r="R48">
        <f>Table3[[#This Row],[Most.synergistic.area.score]]</f>
        <v>1.488</v>
      </c>
    </row>
    <row r="49" spans="1:18" x14ac:dyDescent="0.35">
      <c r="A49" t="s">
        <v>54</v>
      </c>
      <c r="B49">
        <v>-4.7629999999999999</v>
      </c>
      <c r="C49">
        <v>3.7109999999999999</v>
      </c>
      <c r="D49" t="s">
        <v>7</v>
      </c>
      <c r="F49">
        <v>-4.3049999999999997</v>
      </c>
      <c r="H49" t="str" cm="1">
        <f t="array" ref="H49:I49">_xlfn.TEXTSPLIT(Table3[[#This Row],[Drug.combination]], " - ")</f>
        <v>EGCG[SE]</v>
      </c>
      <c r="I49" t="str">
        <v>AMX[SE]</v>
      </c>
      <c r="J49" t="str" cm="1">
        <f t="array" ref="J49:K49">_xlfn.TEXTSPLIT(H49, "[")</f>
        <v>EGCG</v>
      </c>
      <c r="K49" t="str">
        <v>SE]</v>
      </c>
      <c r="L49" t="str" cm="1">
        <f t="array" ref="L49:M49">_xlfn.TEXTSPLIT(I49, "[")</f>
        <v>AMX</v>
      </c>
      <c r="M49" t="str">
        <v>SE]</v>
      </c>
      <c r="O49" t="str">
        <f t="shared" si="0"/>
        <v>SE</v>
      </c>
      <c r="P49" t="str">
        <f t="shared" si="1"/>
        <v>AMX-EGCG</v>
      </c>
      <c r="Q49">
        <f>Table3[[#This Row],[Synergy.score]]</f>
        <v>-4.7629999999999999</v>
      </c>
      <c r="R49">
        <f>Table3[[#This Row],[Most.synergistic.area.score]]</f>
        <v>3.7109999999999999</v>
      </c>
    </row>
    <row r="50" spans="1:18" x14ac:dyDescent="0.35">
      <c r="A50" t="s">
        <v>55</v>
      </c>
      <c r="B50">
        <v>-4.2380000000000004</v>
      </c>
      <c r="C50">
        <v>2.3740000000000001</v>
      </c>
      <c r="D50" t="s">
        <v>7</v>
      </c>
      <c r="F50">
        <v>-3.754</v>
      </c>
      <c r="H50" t="str" cm="1">
        <f t="array" ref="H50:I50">_xlfn.TEXTSPLIT(Table3[[#This Row],[Drug.combination]], " - ")</f>
        <v>EGCG[PS]</v>
      </c>
      <c r="I50" t="str">
        <v>AMX[PS]</v>
      </c>
      <c r="J50" t="str" cm="1">
        <f t="array" ref="J50:K50">_xlfn.TEXTSPLIT(H50, "[")</f>
        <v>EGCG</v>
      </c>
      <c r="K50" t="str">
        <v>PS]</v>
      </c>
      <c r="L50" t="str" cm="1">
        <f t="array" ref="L50:M50">_xlfn.TEXTSPLIT(I50, "[")</f>
        <v>AMX</v>
      </c>
      <c r="M50" t="str">
        <v>PS]</v>
      </c>
      <c r="O50" t="str">
        <f t="shared" si="0"/>
        <v>PS</v>
      </c>
      <c r="P50" t="str">
        <f t="shared" si="1"/>
        <v>AMX-EGCG</v>
      </c>
      <c r="Q50">
        <f>Table3[[#This Row],[Synergy.score]]</f>
        <v>-4.2380000000000004</v>
      </c>
      <c r="R50">
        <f>Table3[[#This Row],[Most.synergistic.area.score]]</f>
        <v>2.3740000000000001</v>
      </c>
    </row>
    <row r="51" spans="1:18" x14ac:dyDescent="0.35">
      <c r="A51" t="s">
        <v>56</v>
      </c>
      <c r="B51">
        <v>-1.06</v>
      </c>
      <c r="C51">
        <v>1.2</v>
      </c>
      <c r="D51" t="s">
        <v>7</v>
      </c>
      <c r="F51">
        <v>-0.91500000000000004</v>
      </c>
      <c r="H51" t="str" cm="1">
        <f t="array" ref="H51:I51">_xlfn.TEXTSPLIT(Table3[[#This Row],[Drug.combination]], " - ")</f>
        <v>EGCG[PS_MDR]</v>
      </c>
      <c r="I51" t="str">
        <v>AMX[PS_MDR]</v>
      </c>
      <c r="J51" t="str" cm="1">
        <f t="array" ref="J51:K51">_xlfn.TEXTSPLIT(H51, "[")</f>
        <v>EGCG</v>
      </c>
      <c r="K51" t="str">
        <v>PS_MDR]</v>
      </c>
      <c r="L51" t="str" cm="1">
        <f t="array" ref="L51:M51">_xlfn.TEXTSPLIT(I51, "[")</f>
        <v>AMX</v>
      </c>
      <c r="M51" t="str">
        <v>PS_MDR]</v>
      </c>
      <c r="O51" t="str">
        <f t="shared" si="0"/>
        <v>PS_MDR</v>
      </c>
      <c r="P51" t="str">
        <f t="shared" si="1"/>
        <v>AMX-EGCG</v>
      </c>
      <c r="Q51">
        <f>Table3[[#This Row],[Synergy.score]]</f>
        <v>-1.06</v>
      </c>
      <c r="R51">
        <f>Table3[[#This Row],[Most.synergistic.area.score]]</f>
        <v>1.2</v>
      </c>
    </row>
    <row r="52" spans="1:18" x14ac:dyDescent="0.35">
      <c r="A52" t="s">
        <v>57</v>
      </c>
      <c r="B52">
        <v>0.23300000000000001</v>
      </c>
      <c r="C52">
        <v>0.86099999999999999</v>
      </c>
      <c r="D52" t="s">
        <v>7</v>
      </c>
      <c r="F52">
        <v>6.0000000000000001E-3</v>
      </c>
      <c r="H52" t="str" cm="1">
        <f t="array" ref="H52:I52">_xlfn.TEXTSPLIT(Table3[[#This Row],[Drug.combination]], " - ")</f>
        <v>ERY[SA]</v>
      </c>
      <c r="I52" t="str">
        <v>AMX[SA]</v>
      </c>
      <c r="J52" t="str" cm="1">
        <f t="array" ref="J52:K52">_xlfn.TEXTSPLIT(H52, "[")</f>
        <v>ERY</v>
      </c>
      <c r="K52" t="str">
        <v>SA]</v>
      </c>
      <c r="L52" t="str" cm="1">
        <f t="array" ref="L52:M52">_xlfn.TEXTSPLIT(I52, "[")</f>
        <v>AMX</v>
      </c>
      <c r="M52" t="str">
        <v>SA]</v>
      </c>
      <c r="O52" t="str">
        <f t="shared" si="0"/>
        <v>SA</v>
      </c>
      <c r="P52" t="str">
        <f t="shared" si="1"/>
        <v>AMX-ERY</v>
      </c>
      <c r="Q52">
        <f>Table3[[#This Row],[Synergy.score]]</f>
        <v>0.23300000000000001</v>
      </c>
      <c r="R52">
        <f>Table3[[#This Row],[Most.synergistic.area.score]]</f>
        <v>0.86099999999999999</v>
      </c>
    </row>
    <row r="53" spans="1:18" x14ac:dyDescent="0.35">
      <c r="A53" t="s">
        <v>58</v>
      </c>
      <c r="B53">
        <v>9.5340000000000007</v>
      </c>
      <c r="C53">
        <v>47.316000000000003</v>
      </c>
      <c r="D53" t="s">
        <v>7</v>
      </c>
      <c r="F53">
        <v>6.61</v>
      </c>
      <c r="H53" t="str" cm="1">
        <f t="array" ref="H53:I53">_xlfn.TEXTSPLIT(Table3[[#This Row],[Drug.combination]], " - ")</f>
        <v>ERY[SE]</v>
      </c>
      <c r="I53" t="str">
        <v>AMX[SE]</v>
      </c>
      <c r="J53" t="str" cm="1">
        <f t="array" ref="J53:K53">_xlfn.TEXTSPLIT(H53, "[")</f>
        <v>ERY</v>
      </c>
      <c r="K53" t="str">
        <v>SE]</v>
      </c>
      <c r="L53" t="str" cm="1">
        <f t="array" ref="L53:M53">_xlfn.TEXTSPLIT(I53, "[")</f>
        <v>AMX</v>
      </c>
      <c r="M53" t="str">
        <v>SE]</v>
      </c>
      <c r="O53" t="str">
        <f t="shared" si="0"/>
        <v>SE</v>
      </c>
      <c r="P53" t="str">
        <f t="shared" si="1"/>
        <v>AMX-ERY</v>
      </c>
      <c r="Q53">
        <f>Table3[[#This Row],[Synergy.score]]</f>
        <v>9.5340000000000007</v>
      </c>
      <c r="R53">
        <f>Table3[[#This Row],[Most.synergistic.area.score]]</f>
        <v>47.316000000000003</v>
      </c>
    </row>
    <row r="54" spans="1:18" x14ac:dyDescent="0.35">
      <c r="A54" t="s">
        <v>59</v>
      </c>
      <c r="B54">
        <v>-9.4860000000000007</v>
      </c>
      <c r="C54">
        <v>0.30399999999999999</v>
      </c>
      <c r="D54" t="s">
        <v>7</v>
      </c>
      <c r="F54">
        <v>-8.0210000000000008</v>
      </c>
      <c r="H54" t="str" cm="1">
        <f t="array" ref="H54:I54">_xlfn.TEXTSPLIT(Table3[[#This Row],[Drug.combination]], " - ")</f>
        <v>ERY[PS]</v>
      </c>
      <c r="I54" t="str">
        <v>AMX[PS]</v>
      </c>
      <c r="J54" t="str" cm="1">
        <f t="array" ref="J54:K54">_xlfn.TEXTSPLIT(H54, "[")</f>
        <v>ERY</v>
      </c>
      <c r="K54" t="str">
        <v>PS]</v>
      </c>
      <c r="L54" t="str" cm="1">
        <f t="array" ref="L54:M54">_xlfn.TEXTSPLIT(I54, "[")</f>
        <v>AMX</v>
      </c>
      <c r="M54" t="str">
        <v>PS]</v>
      </c>
      <c r="O54" t="str">
        <f t="shared" si="0"/>
        <v>PS</v>
      </c>
      <c r="P54" t="str">
        <f t="shared" si="1"/>
        <v>AMX-ERY</v>
      </c>
      <c r="Q54">
        <f>Table3[[#This Row],[Synergy.score]]</f>
        <v>-9.4860000000000007</v>
      </c>
      <c r="R54">
        <f>Table3[[#This Row],[Most.synergistic.area.score]]</f>
        <v>0.30399999999999999</v>
      </c>
    </row>
    <row r="55" spans="1:18" x14ac:dyDescent="0.35">
      <c r="A55" t="s">
        <v>60</v>
      </c>
      <c r="B55">
        <v>-9.0410000000000004</v>
      </c>
      <c r="C55">
        <v>-3.0230000000000001</v>
      </c>
      <c r="D55" t="s">
        <v>7</v>
      </c>
      <c r="F55">
        <v>-7.9089999999999998</v>
      </c>
      <c r="H55" t="str" cm="1">
        <f t="array" ref="H55:I55">_xlfn.TEXTSPLIT(Table3[[#This Row],[Drug.combination]], " - ")</f>
        <v>ERY[PS_MDR]</v>
      </c>
      <c r="I55" t="str">
        <v>AMX[PS_MDR]</v>
      </c>
      <c r="J55" t="str" cm="1">
        <f t="array" ref="J55:K55">_xlfn.TEXTSPLIT(H55, "[")</f>
        <v>ERY</v>
      </c>
      <c r="K55" t="str">
        <v>PS_MDR]</v>
      </c>
      <c r="L55" t="str" cm="1">
        <f t="array" ref="L55:M55">_xlfn.TEXTSPLIT(I55, "[")</f>
        <v>AMX</v>
      </c>
      <c r="M55" t="str">
        <v>PS_MDR]</v>
      </c>
      <c r="O55" t="str">
        <f t="shared" si="0"/>
        <v>PS_MDR</v>
      </c>
      <c r="P55" t="str">
        <f t="shared" si="1"/>
        <v>AMX-ERY</v>
      </c>
      <c r="Q55">
        <f>Table3[[#This Row],[Synergy.score]]</f>
        <v>-9.0410000000000004</v>
      </c>
      <c r="R55">
        <f>Table3[[#This Row],[Most.synergistic.area.score]]</f>
        <v>-3.0230000000000001</v>
      </c>
    </row>
    <row r="56" spans="1:18" x14ac:dyDescent="0.35">
      <c r="A56" t="s">
        <v>61</v>
      </c>
      <c r="B56">
        <v>-0.316</v>
      </c>
      <c r="C56">
        <v>0.54100000000000004</v>
      </c>
      <c r="D56" t="s">
        <v>7</v>
      </c>
      <c r="F56">
        <v>-0.20699999999999999</v>
      </c>
      <c r="H56" t="str" cm="1">
        <f t="array" ref="H56:I56">_xlfn.TEXTSPLIT(Table3[[#This Row],[Drug.combination]], " - ")</f>
        <v>GEN[SA]</v>
      </c>
      <c r="I56" t="str">
        <v>AMX[SA]</v>
      </c>
      <c r="J56" t="str" cm="1">
        <f t="array" ref="J56:K56">_xlfn.TEXTSPLIT(H56, "[")</f>
        <v>GEN</v>
      </c>
      <c r="K56" t="str">
        <v>SA]</v>
      </c>
      <c r="L56" t="str" cm="1">
        <f t="array" ref="L56:M56">_xlfn.TEXTSPLIT(I56, "[")</f>
        <v>AMX</v>
      </c>
      <c r="M56" t="str">
        <v>SA]</v>
      </c>
      <c r="O56" t="str">
        <f t="shared" si="0"/>
        <v>SA</v>
      </c>
      <c r="P56" t="str">
        <f t="shared" si="1"/>
        <v>AMX-GEN</v>
      </c>
      <c r="Q56">
        <f>Table3[[#This Row],[Synergy.score]]</f>
        <v>-0.316</v>
      </c>
      <c r="R56">
        <f>Table3[[#This Row],[Most.synergistic.area.score]]</f>
        <v>0.54100000000000004</v>
      </c>
    </row>
    <row r="57" spans="1:18" x14ac:dyDescent="0.35">
      <c r="A57" t="s">
        <v>62</v>
      </c>
      <c r="B57">
        <v>-8.3059999999999992</v>
      </c>
      <c r="C57">
        <v>1.212</v>
      </c>
      <c r="D57" t="s">
        <v>7</v>
      </c>
      <c r="F57">
        <v>-5.9729999999999999</v>
      </c>
      <c r="H57" t="str" cm="1">
        <f t="array" ref="H57:I57">_xlfn.TEXTSPLIT(Table3[[#This Row],[Drug.combination]], " - ")</f>
        <v>GEN[SE]</v>
      </c>
      <c r="I57" t="str">
        <v>AMX[SE]</v>
      </c>
      <c r="J57" t="str" cm="1">
        <f t="array" ref="J57:K57">_xlfn.TEXTSPLIT(H57, "[")</f>
        <v>GEN</v>
      </c>
      <c r="K57" t="str">
        <v>SE]</v>
      </c>
      <c r="L57" t="str" cm="1">
        <f t="array" ref="L57:M57">_xlfn.TEXTSPLIT(I57, "[")</f>
        <v>AMX</v>
      </c>
      <c r="M57" t="str">
        <v>SE]</v>
      </c>
      <c r="O57" t="str">
        <f t="shared" si="0"/>
        <v>SE</v>
      </c>
      <c r="P57" t="str">
        <f t="shared" si="1"/>
        <v>AMX-GEN</v>
      </c>
      <c r="Q57">
        <f>Table3[[#This Row],[Synergy.score]]</f>
        <v>-8.3059999999999992</v>
      </c>
      <c r="R57">
        <f>Table3[[#This Row],[Most.synergistic.area.score]]</f>
        <v>1.212</v>
      </c>
    </row>
    <row r="58" spans="1:18" x14ac:dyDescent="0.35">
      <c r="A58" t="s">
        <v>63</v>
      </c>
      <c r="B58">
        <v>-1.593</v>
      </c>
      <c r="C58">
        <v>2.8559999999999999</v>
      </c>
      <c r="D58" t="s">
        <v>7</v>
      </c>
      <c r="F58">
        <v>-1.7849999999999999</v>
      </c>
      <c r="H58" t="str" cm="1">
        <f t="array" ref="H58:I58">_xlfn.TEXTSPLIT(Table3[[#This Row],[Drug.combination]], " - ")</f>
        <v>GEN[PS]</v>
      </c>
      <c r="I58" t="str">
        <v>AMX[PS]</v>
      </c>
      <c r="J58" t="str" cm="1">
        <f t="array" ref="J58:K58">_xlfn.TEXTSPLIT(H58, "[")</f>
        <v>GEN</v>
      </c>
      <c r="K58" t="str">
        <v>PS]</v>
      </c>
      <c r="L58" t="str" cm="1">
        <f t="array" ref="L58:M58">_xlfn.TEXTSPLIT(I58, "[")</f>
        <v>AMX</v>
      </c>
      <c r="M58" t="str">
        <v>PS]</v>
      </c>
      <c r="O58" t="str">
        <f t="shared" si="0"/>
        <v>PS</v>
      </c>
      <c r="P58" t="str">
        <f t="shared" si="1"/>
        <v>AMX-GEN</v>
      </c>
      <c r="Q58">
        <f>Table3[[#This Row],[Synergy.score]]</f>
        <v>-1.593</v>
      </c>
      <c r="R58">
        <f>Table3[[#This Row],[Most.synergistic.area.score]]</f>
        <v>2.8559999999999999</v>
      </c>
    </row>
    <row r="59" spans="1:18" x14ac:dyDescent="0.35">
      <c r="A59" t="s">
        <v>64</v>
      </c>
      <c r="B59">
        <v>-3.4769999999999999</v>
      </c>
      <c r="C59">
        <v>-1.3859999999999999</v>
      </c>
      <c r="D59" t="s">
        <v>7</v>
      </c>
      <c r="F59">
        <v>-3.3420000000000001</v>
      </c>
      <c r="H59" t="str" cm="1">
        <f t="array" ref="H59:I59">_xlfn.TEXTSPLIT(Table3[[#This Row],[Drug.combination]], " - ")</f>
        <v>GEN[PS_MDR]</v>
      </c>
      <c r="I59" t="str">
        <v>AMX[PS_MDR]</v>
      </c>
      <c r="J59" t="str" cm="1">
        <f t="array" ref="J59:K59">_xlfn.TEXTSPLIT(H59, "[")</f>
        <v>GEN</v>
      </c>
      <c r="K59" t="str">
        <v>PS_MDR]</v>
      </c>
      <c r="L59" t="str" cm="1">
        <f t="array" ref="L59:M59">_xlfn.TEXTSPLIT(I59, "[")</f>
        <v>AMX</v>
      </c>
      <c r="M59" t="str">
        <v>PS_MDR]</v>
      </c>
      <c r="O59" t="str">
        <f t="shared" si="0"/>
        <v>PS_MDR</v>
      </c>
      <c r="P59" t="str">
        <f t="shared" si="1"/>
        <v>AMX-GEN</v>
      </c>
      <c r="Q59">
        <f>Table3[[#This Row],[Synergy.score]]</f>
        <v>-3.4769999999999999</v>
      </c>
      <c r="R59">
        <f>Table3[[#This Row],[Most.synergistic.area.score]]</f>
        <v>-1.3859999999999999</v>
      </c>
    </row>
    <row r="60" spans="1:18" x14ac:dyDescent="0.35">
      <c r="A60" t="s">
        <v>65</v>
      </c>
      <c r="B60">
        <v>4.1100000000000003</v>
      </c>
      <c r="C60">
        <v>12.493</v>
      </c>
      <c r="D60" t="s">
        <v>7</v>
      </c>
      <c r="F60">
        <v>1.9119999999999999</v>
      </c>
      <c r="H60" t="str" cm="1">
        <f t="array" ref="H60:I60">_xlfn.TEXTSPLIT(Table3[[#This Row],[Drug.combination]], " - ")</f>
        <v>PQ[SA]</v>
      </c>
      <c r="I60" t="str">
        <v>AMX[SA]</v>
      </c>
      <c r="J60" t="str" cm="1">
        <f t="array" ref="J60:K60">_xlfn.TEXTSPLIT(H60, "[")</f>
        <v>PQ</v>
      </c>
      <c r="K60" t="str">
        <v>SA]</v>
      </c>
      <c r="L60" t="str" cm="1">
        <f t="array" ref="L60:M60">_xlfn.TEXTSPLIT(I60, "[")</f>
        <v>AMX</v>
      </c>
      <c r="M60" t="str">
        <v>SA]</v>
      </c>
      <c r="O60" t="str">
        <f t="shared" si="0"/>
        <v>SA</v>
      </c>
      <c r="P60" t="str">
        <f t="shared" si="1"/>
        <v>AMX-PQ</v>
      </c>
      <c r="Q60">
        <f>Table3[[#This Row],[Synergy.score]]</f>
        <v>4.1100000000000003</v>
      </c>
      <c r="R60">
        <f>Table3[[#This Row],[Most.synergistic.area.score]]</f>
        <v>12.493</v>
      </c>
    </row>
    <row r="61" spans="1:18" x14ac:dyDescent="0.35">
      <c r="A61" t="s">
        <v>66</v>
      </c>
      <c r="B61">
        <v>-10.134</v>
      </c>
      <c r="C61">
        <v>3.3090000000000002</v>
      </c>
      <c r="D61" t="s">
        <v>7</v>
      </c>
      <c r="F61">
        <v>-7.9349999999999996</v>
      </c>
      <c r="H61" t="str" cm="1">
        <f t="array" ref="H61:I61">_xlfn.TEXTSPLIT(Table3[[#This Row],[Drug.combination]], " - ")</f>
        <v>PQ[SE]</v>
      </c>
      <c r="I61" t="str">
        <v>AMX[SE]</v>
      </c>
      <c r="J61" t="str" cm="1">
        <f t="array" ref="J61:K61">_xlfn.TEXTSPLIT(H61, "[")</f>
        <v>PQ</v>
      </c>
      <c r="K61" t="str">
        <v>SE]</v>
      </c>
      <c r="L61" t="str" cm="1">
        <f t="array" ref="L61:M61">_xlfn.TEXTSPLIT(I61, "[")</f>
        <v>AMX</v>
      </c>
      <c r="M61" t="str">
        <v>SE]</v>
      </c>
      <c r="O61" t="str">
        <f t="shared" si="0"/>
        <v>SE</v>
      </c>
      <c r="P61" t="str">
        <f t="shared" si="1"/>
        <v>AMX-PQ</v>
      </c>
      <c r="Q61">
        <f>Table3[[#This Row],[Synergy.score]]</f>
        <v>-10.134</v>
      </c>
      <c r="R61">
        <f>Table3[[#This Row],[Most.synergistic.area.score]]</f>
        <v>3.3090000000000002</v>
      </c>
    </row>
    <row r="62" spans="1:18" x14ac:dyDescent="0.35">
      <c r="A62" t="s">
        <v>67</v>
      </c>
      <c r="B62">
        <v>-4.3380000000000001</v>
      </c>
      <c r="C62">
        <v>-6.3E-2</v>
      </c>
      <c r="D62" t="s">
        <v>7</v>
      </c>
      <c r="F62">
        <v>-4.3289999999999997</v>
      </c>
      <c r="H62" t="str" cm="1">
        <f t="array" ref="H62:I62">_xlfn.TEXTSPLIT(Table3[[#This Row],[Drug.combination]], " - ")</f>
        <v>PQ[PS]</v>
      </c>
      <c r="I62" t="str">
        <v>AMX[PS]</v>
      </c>
      <c r="J62" t="str" cm="1">
        <f t="array" ref="J62:K62">_xlfn.TEXTSPLIT(H62, "[")</f>
        <v>PQ</v>
      </c>
      <c r="K62" t="str">
        <v>PS]</v>
      </c>
      <c r="L62" t="str" cm="1">
        <f t="array" ref="L62:M62">_xlfn.TEXTSPLIT(I62, "[")</f>
        <v>AMX</v>
      </c>
      <c r="M62" t="str">
        <v>PS]</v>
      </c>
      <c r="O62" t="str">
        <f t="shared" si="0"/>
        <v>PS</v>
      </c>
      <c r="P62" t="str">
        <f t="shared" si="1"/>
        <v>AMX-PQ</v>
      </c>
      <c r="Q62">
        <f>Table3[[#This Row],[Synergy.score]]</f>
        <v>-4.3380000000000001</v>
      </c>
      <c r="R62">
        <f>Table3[[#This Row],[Most.synergistic.area.score]]</f>
        <v>-6.3E-2</v>
      </c>
    </row>
    <row r="63" spans="1:18" x14ac:dyDescent="0.35">
      <c r="A63" t="s">
        <v>68</v>
      </c>
      <c r="B63">
        <v>-4.2</v>
      </c>
      <c r="C63">
        <v>0.27100000000000002</v>
      </c>
      <c r="D63" t="s">
        <v>7</v>
      </c>
      <c r="F63">
        <v>-3.8140000000000001</v>
      </c>
      <c r="H63" t="str" cm="1">
        <f t="array" ref="H63:I63">_xlfn.TEXTSPLIT(Table3[[#This Row],[Drug.combination]], " - ")</f>
        <v>PQ[PS_MDR]</v>
      </c>
      <c r="I63" t="str">
        <v>AMX[PS_MDR]</v>
      </c>
      <c r="J63" t="str" cm="1">
        <f t="array" ref="J63:K63">_xlfn.TEXTSPLIT(H63, "[")</f>
        <v>PQ</v>
      </c>
      <c r="K63" t="str">
        <v>PS_MDR]</v>
      </c>
      <c r="L63" t="str" cm="1">
        <f t="array" ref="L63:M63">_xlfn.TEXTSPLIT(I63, "[")</f>
        <v>AMX</v>
      </c>
      <c r="M63" t="str">
        <v>PS_MDR]</v>
      </c>
      <c r="O63" t="str">
        <f t="shared" si="0"/>
        <v>PS_MDR</v>
      </c>
      <c r="P63" t="str">
        <f t="shared" si="1"/>
        <v>AMX-PQ</v>
      </c>
      <c r="Q63">
        <f>Table3[[#This Row],[Synergy.score]]</f>
        <v>-4.2</v>
      </c>
      <c r="R63">
        <f>Table3[[#This Row],[Most.synergistic.area.score]]</f>
        <v>0.27100000000000002</v>
      </c>
    </row>
    <row r="64" spans="1:18" x14ac:dyDescent="0.35">
      <c r="A64" t="s">
        <v>69</v>
      </c>
      <c r="B64">
        <v>-3.3170000000000002</v>
      </c>
      <c r="C64">
        <v>3.359</v>
      </c>
      <c r="D64" t="s">
        <v>7</v>
      </c>
      <c r="F64">
        <v>-2.988</v>
      </c>
      <c r="H64" t="str" cm="1">
        <f t="array" ref="H64:I64">_xlfn.TEXTSPLIT(Table3[[#This Row],[Drug.combination]], " - ")</f>
        <v>CCCP[SA]</v>
      </c>
      <c r="I64" t="str">
        <v>AZT[SA]</v>
      </c>
      <c r="J64" t="str" cm="1">
        <f t="array" ref="J64:K64">_xlfn.TEXTSPLIT(H64, "[")</f>
        <v>CCCP</v>
      </c>
      <c r="K64" t="str">
        <v>SA]</v>
      </c>
      <c r="L64" t="str" cm="1">
        <f t="array" ref="L64:M64">_xlfn.TEXTSPLIT(I64, "[")</f>
        <v>AZT</v>
      </c>
      <c r="M64" t="str">
        <v>SA]</v>
      </c>
      <c r="O64" t="str">
        <f t="shared" si="0"/>
        <v>SA</v>
      </c>
      <c r="P64" t="str">
        <f t="shared" si="1"/>
        <v>AZT-CCCP</v>
      </c>
      <c r="Q64">
        <f>Table3[[#This Row],[Synergy.score]]</f>
        <v>-3.3170000000000002</v>
      </c>
      <c r="R64">
        <f>Table3[[#This Row],[Most.synergistic.area.score]]</f>
        <v>3.359</v>
      </c>
    </row>
    <row r="65" spans="1:18" x14ac:dyDescent="0.35">
      <c r="A65" t="s">
        <v>70</v>
      </c>
      <c r="B65">
        <v>-0.83</v>
      </c>
      <c r="C65">
        <v>8.6790000000000003</v>
      </c>
      <c r="D65" t="s">
        <v>7</v>
      </c>
      <c r="F65">
        <v>-0.65700000000000003</v>
      </c>
      <c r="H65" t="str" cm="1">
        <f t="array" ref="H65:I65">_xlfn.TEXTSPLIT(Table3[[#This Row],[Drug.combination]], " - ")</f>
        <v>CCCP[SE]</v>
      </c>
      <c r="I65" t="str">
        <v>AZT[SE]</v>
      </c>
      <c r="J65" t="str" cm="1">
        <f t="array" ref="J65:K65">_xlfn.TEXTSPLIT(H65, "[")</f>
        <v>CCCP</v>
      </c>
      <c r="K65" t="str">
        <v>SE]</v>
      </c>
      <c r="L65" t="str" cm="1">
        <f t="array" ref="L65:M65">_xlfn.TEXTSPLIT(I65, "[")</f>
        <v>AZT</v>
      </c>
      <c r="M65" t="str">
        <v>SE]</v>
      </c>
      <c r="O65" t="str">
        <f t="shared" si="0"/>
        <v>SE</v>
      </c>
      <c r="P65" t="str">
        <f t="shared" si="1"/>
        <v>AZT-CCCP</v>
      </c>
      <c r="Q65">
        <f>Table3[[#This Row],[Synergy.score]]</f>
        <v>-0.83</v>
      </c>
      <c r="R65">
        <f>Table3[[#This Row],[Most.synergistic.area.score]]</f>
        <v>8.6790000000000003</v>
      </c>
    </row>
    <row r="66" spans="1:18" x14ac:dyDescent="0.35">
      <c r="A66" t="s">
        <v>71</v>
      </c>
      <c r="B66">
        <v>-12.285</v>
      </c>
      <c r="C66">
        <v>7.923</v>
      </c>
      <c r="D66" t="s">
        <v>7</v>
      </c>
      <c r="F66">
        <v>-9.5250000000000004</v>
      </c>
      <c r="H66" t="str" cm="1">
        <f t="array" ref="H66:I66">_xlfn.TEXTSPLIT(Table3[[#This Row],[Drug.combination]], " - ")</f>
        <v>CCCP[PS]</v>
      </c>
      <c r="I66" t="str">
        <v>AZT[PS]</v>
      </c>
      <c r="J66" t="str" cm="1">
        <f t="array" ref="J66:K66">_xlfn.TEXTSPLIT(H66, "[")</f>
        <v>CCCP</v>
      </c>
      <c r="K66" t="str">
        <v>PS]</v>
      </c>
      <c r="L66" t="str" cm="1">
        <f t="array" ref="L66:M66">_xlfn.TEXTSPLIT(I66, "[")</f>
        <v>AZT</v>
      </c>
      <c r="M66" t="str">
        <v>PS]</v>
      </c>
      <c r="O66" t="str">
        <f t="shared" si="0"/>
        <v>PS</v>
      </c>
      <c r="P66" t="str">
        <f t="shared" si="1"/>
        <v>AZT-CCCP</v>
      </c>
      <c r="Q66">
        <f>Table3[[#This Row],[Synergy.score]]</f>
        <v>-12.285</v>
      </c>
      <c r="R66">
        <f>Table3[[#This Row],[Most.synergistic.area.score]]</f>
        <v>7.923</v>
      </c>
    </row>
    <row r="67" spans="1:18" x14ac:dyDescent="0.35">
      <c r="A67" t="s">
        <v>72</v>
      </c>
      <c r="B67">
        <v>-0.115</v>
      </c>
      <c r="C67">
        <v>10.677</v>
      </c>
      <c r="D67" t="s">
        <v>7</v>
      </c>
      <c r="F67">
        <v>-0.80500000000000005</v>
      </c>
      <c r="H67" t="str" cm="1">
        <f t="array" ref="H67:I67">_xlfn.TEXTSPLIT(Table3[[#This Row],[Drug.combination]], " - ")</f>
        <v>CCCP[PS_MDR]</v>
      </c>
      <c r="I67" t="str">
        <v>AZT[PS_MDR]</v>
      </c>
      <c r="J67" t="str" cm="1">
        <f t="array" ref="J67:K67">_xlfn.TEXTSPLIT(H67, "[")</f>
        <v>CCCP</v>
      </c>
      <c r="K67" t="str">
        <v>PS_MDR]</v>
      </c>
      <c r="L67" t="str" cm="1">
        <f t="array" ref="L67:M67">_xlfn.TEXTSPLIT(I67, "[")</f>
        <v>AZT</v>
      </c>
      <c r="M67" t="str">
        <v>PS_MDR]</v>
      </c>
      <c r="O67" t="str">
        <f t="shared" ref="O67:O130" si="2">LEFT(K67, LEN(K67)-1)</f>
        <v>PS_MDR</v>
      </c>
      <c r="P67" t="str">
        <f t="shared" ref="P67:P130" si="3">_xlfn.TEXTJOIN("-", TRUE, L67, J67)</f>
        <v>AZT-CCCP</v>
      </c>
      <c r="Q67">
        <f>Table3[[#This Row],[Synergy.score]]</f>
        <v>-0.115</v>
      </c>
      <c r="R67">
        <f>Table3[[#This Row],[Most.synergistic.area.score]]</f>
        <v>10.677</v>
      </c>
    </row>
    <row r="68" spans="1:18" x14ac:dyDescent="0.35">
      <c r="A68" t="s">
        <v>73</v>
      </c>
      <c r="B68">
        <v>-20.763999999999999</v>
      </c>
      <c r="C68">
        <v>-0.627</v>
      </c>
      <c r="D68" t="s">
        <v>7</v>
      </c>
      <c r="F68">
        <v>-13.288</v>
      </c>
      <c r="H68" t="str" cm="1">
        <f t="array" ref="H68:I68">_xlfn.TEXTSPLIT(Table3[[#This Row],[Drug.combination]], " - ")</f>
        <v>CER[SA_ATCC]</v>
      </c>
      <c r="I68" t="str">
        <v>BAC[SA_ATCC]</v>
      </c>
      <c r="J68" t="str" cm="1">
        <f t="array" ref="J68:K68">_xlfn.TEXTSPLIT(H68, "[")</f>
        <v>CER</v>
      </c>
      <c r="K68" t="str">
        <v>SA_ATCC]</v>
      </c>
      <c r="L68" t="str" cm="1">
        <f t="array" ref="L68:M68">_xlfn.TEXTSPLIT(I68, "[")</f>
        <v>BAC</v>
      </c>
      <c r="M68" t="str">
        <v>SA_ATCC]</v>
      </c>
      <c r="O68" t="str">
        <f t="shared" si="2"/>
        <v>SA_ATCC</v>
      </c>
      <c r="P68" t="str">
        <f t="shared" si="3"/>
        <v>BAC-CER</v>
      </c>
      <c r="Q68">
        <f>Table3[[#This Row],[Synergy.score]]</f>
        <v>-20.763999999999999</v>
      </c>
      <c r="R68">
        <f>Table3[[#This Row],[Most.synergistic.area.score]]</f>
        <v>-0.627</v>
      </c>
    </row>
    <row r="69" spans="1:18" x14ac:dyDescent="0.35">
      <c r="A69" t="s">
        <v>74</v>
      </c>
      <c r="B69">
        <v>-8.2219999999999995</v>
      </c>
      <c r="C69">
        <v>-1.573</v>
      </c>
      <c r="D69" t="s">
        <v>7</v>
      </c>
      <c r="F69">
        <v>-7.6639999999999997</v>
      </c>
      <c r="H69" t="str" cm="1">
        <f t="array" ref="H69:I69">_xlfn.TEXTSPLIT(Table3[[#This Row],[Drug.combination]], " - ")</f>
        <v>CER[PS_ATCC]</v>
      </c>
      <c r="I69" t="str">
        <v>BAC[PS_ATCC]</v>
      </c>
      <c r="J69" t="str" cm="1">
        <f t="array" ref="J69:K69">_xlfn.TEXTSPLIT(H69, "[")</f>
        <v>CER</v>
      </c>
      <c r="K69" t="str">
        <v>PS_ATCC]</v>
      </c>
      <c r="L69" t="str" cm="1">
        <f t="array" ref="L69:M69">_xlfn.TEXTSPLIT(I69, "[")</f>
        <v>BAC</v>
      </c>
      <c r="M69" t="str">
        <v>PS_ATCC]</v>
      </c>
      <c r="O69" t="str">
        <f t="shared" si="2"/>
        <v>PS_ATCC</v>
      </c>
      <c r="P69" t="str">
        <f t="shared" si="3"/>
        <v>BAC-CER</v>
      </c>
      <c r="Q69">
        <f>Table3[[#This Row],[Synergy.score]]</f>
        <v>-8.2219999999999995</v>
      </c>
      <c r="R69">
        <f>Table3[[#This Row],[Most.synergistic.area.score]]</f>
        <v>-1.573</v>
      </c>
    </row>
    <row r="70" spans="1:18" x14ac:dyDescent="0.35">
      <c r="A70" t="s">
        <v>75</v>
      </c>
      <c r="B70">
        <v>-1.4430000000000001</v>
      </c>
      <c r="C70">
        <v>9.9710000000000001</v>
      </c>
      <c r="D70" t="s">
        <v>7</v>
      </c>
      <c r="F70">
        <v>1.1359999999999999</v>
      </c>
      <c r="H70" t="str" cm="1">
        <f t="array" ref="H70:I70">_xlfn.TEXTSPLIT(Table3[[#This Row],[Drug.combination]], " - ")</f>
        <v>CER[SA]</v>
      </c>
      <c r="I70" t="str">
        <v>BAC[SA]</v>
      </c>
      <c r="J70" t="str" cm="1">
        <f t="array" ref="J70:K70">_xlfn.TEXTSPLIT(H70, "[")</f>
        <v>CER</v>
      </c>
      <c r="K70" t="str">
        <v>SA]</v>
      </c>
      <c r="L70" t="str" cm="1">
        <f t="array" ref="L70:M70">_xlfn.TEXTSPLIT(I70, "[")</f>
        <v>BAC</v>
      </c>
      <c r="M70" t="str">
        <v>SA]</v>
      </c>
      <c r="O70" t="str">
        <f t="shared" si="2"/>
        <v>SA</v>
      </c>
      <c r="P70" t="str">
        <f t="shared" si="3"/>
        <v>BAC-CER</v>
      </c>
      <c r="Q70">
        <f>Table3[[#This Row],[Synergy.score]]</f>
        <v>-1.4430000000000001</v>
      </c>
      <c r="R70">
        <f>Table3[[#This Row],[Most.synergistic.area.score]]</f>
        <v>9.9710000000000001</v>
      </c>
    </row>
    <row r="71" spans="1:18" x14ac:dyDescent="0.35">
      <c r="A71" t="s">
        <v>76</v>
      </c>
      <c r="B71">
        <v>-20.658000000000001</v>
      </c>
      <c r="C71">
        <v>0.59599999999999997</v>
      </c>
      <c r="D71" t="s">
        <v>7</v>
      </c>
      <c r="F71">
        <v>-10.076000000000001</v>
      </c>
      <c r="H71" t="str" cm="1">
        <f t="array" ref="H71:I71">_xlfn.TEXTSPLIT(Table3[[#This Row],[Drug.combination]], " - ")</f>
        <v>CER[SE]</v>
      </c>
      <c r="I71" t="str">
        <v>BAC[SE]</v>
      </c>
      <c r="J71" t="str" cm="1">
        <f t="array" ref="J71:K71">_xlfn.TEXTSPLIT(H71, "[")</f>
        <v>CER</v>
      </c>
      <c r="K71" t="str">
        <v>SE]</v>
      </c>
      <c r="L71" t="str" cm="1">
        <f t="array" ref="L71:M71">_xlfn.TEXTSPLIT(I71, "[")</f>
        <v>BAC</v>
      </c>
      <c r="M71" t="str">
        <v>SE]</v>
      </c>
      <c r="O71" t="str">
        <f t="shared" si="2"/>
        <v>SE</v>
      </c>
      <c r="P71" t="str">
        <f t="shared" si="3"/>
        <v>BAC-CER</v>
      </c>
      <c r="Q71">
        <f>Table3[[#This Row],[Synergy.score]]</f>
        <v>-20.658000000000001</v>
      </c>
      <c r="R71">
        <f>Table3[[#This Row],[Most.synergistic.area.score]]</f>
        <v>0.59599999999999997</v>
      </c>
    </row>
    <row r="72" spans="1:18" x14ac:dyDescent="0.35">
      <c r="A72" t="s">
        <v>77</v>
      </c>
      <c r="B72">
        <v>-3.391</v>
      </c>
      <c r="C72">
        <v>-0.55100000000000005</v>
      </c>
      <c r="D72" t="s">
        <v>7</v>
      </c>
      <c r="F72">
        <v>-3.278</v>
      </c>
      <c r="H72" t="str" cm="1">
        <f t="array" ref="H72:I72">_xlfn.TEXTSPLIT(Table3[[#This Row],[Drug.combination]], " - ")</f>
        <v>CER[PS]</v>
      </c>
      <c r="I72" t="str">
        <v>BAC[PS]</v>
      </c>
      <c r="J72" t="str" cm="1">
        <f t="array" ref="J72:K72">_xlfn.TEXTSPLIT(H72, "[")</f>
        <v>CER</v>
      </c>
      <c r="K72" t="str">
        <v>PS]</v>
      </c>
      <c r="L72" t="str" cm="1">
        <f t="array" ref="L72:M72">_xlfn.TEXTSPLIT(I72, "[")</f>
        <v>BAC</v>
      </c>
      <c r="M72" t="str">
        <v>PS]</v>
      </c>
      <c r="O72" t="str">
        <f t="shared" si="2"/>
        <v>PS</v>
      </c>
      <c r="P72" t="str">
        <f t="shared" si="3"/>
        <v>BAC-CER</v>
      </c>
      <c r="Q72">
        <f>Table3[[#This Row],[Synergy.score]]</f>
        <v>-3.391</v>
      </c>
      <c r="R72">
        <f>Table3[[#This Row],[Most.synergistic.area.score]]</f>
        <v>-0.55100000000000005</v>
      </c>
    </row>
    <row r="73" spans="1:18" x14ac:dyDescent="0.35">
      <c r="A73" t="s">
        <v>78</v>
      </c>
      <c r="B73">
        <v>-1.74</v>
      </c>
      <c r="C73">
        <v>0.27100000000000002</v>
      </c>
      <c r="D73" t="s">
        <v>7</v>
      </c>
      <c r="F73">
        <v>-1.6639999999999999</v>
      </c>
      <c r="H73" t="str" cm="1">
        <f t="array" ref="H73:I73">_xlfn.TEXTSPLIT(Table3[[#This Row],[Drug.combination]], " - ")</f>
        <v>CER[PS_MDR]</v>
      </c>
      <c r="I73" t="str">
        <v>BAC[PS_MDR]</v>
      </c>
      <c r="J73" t="str" cm="1">
        <f t="array" ref="J73:K73">_xlfn.TEXTSPLIT(H73, "[")</f>
        <v>CER</v>
      </c>
      <c r="K73" t="str">
        <v>PS_MDR]</v>
      </c>
      <c r="L73" t="str" cm="1">
        <f t="array" ref="L73:M73">_xlfn.TEXTSPLIT(I73, "[")</f>
        <v>BAC</v>
      </c>
      <c r="M73" t="str">
        <v>PS_MDR]</v>
      </c>
      <c r="O73" t="str">
        <f t="shared" si="2"/>
        <v>PS_MDR</v>
      </c>
      <c r="P73" t="str">
        <f t="shared" si="3"/>
        <v>BAC-CER</v>
      </c>
      <c r="Q73">
        <f>Table3[[#This Row],[Synergy.score]]</f>
        <v>-1.74</v>
      </c>
      <c r="R73">
        <f>Table3[[#This Row],[Most.synergistic.area.score]]</f>
        <v>0.27100000000000002</v>
      </c>
    </row>
    <row r="74" spans="1:18" x14ac:dyDescent="0.35">
      <c r="A74" t="s">
        <v>79</v>
      </c>
      <c r="B74">
        <v>1.387</v>
      </c>
      <c r="C74">
        <v>11.262</v>
      </c>
      <c r="D74" t="s">
        <v>7</v>
      </c>
      <c r="F74">
        <v>0.57199999999999995</v>
      </c>
      <c r="H74" t="str" cm="1">
        <f t="array" ref="H74:I74">_xlfn.TEXTSPLIT(Table3[[#This Row],[Drug.combination]], " - ")</f>
        <v>CIP[SA]</v>
      </c>
      <c r="I74" t="str">
        <v>BAC[SA]</v>
      </c>
      <c r="J74" t="str" cm="1">
        <f t="array" ref="J74:K74">_xlfn.TEXTSPLIT(H74, "[")</f>
        <v>CIP</v>
      </c>
      <c r="K74" t="str">
        <v>SA]</v>
      </c>
      <c r="L74" t="str" cm="1">
        <f t="array" ref="L74:M74">_xlfn.TEXTSPLIT(I74, "[")</f>
        <v>BAC</v>
      </c>
      <c r="M74" t="str">
        <v>SA]</v>
      </c>
      <c r="O74" t="str">
        <f t="shared" si="2"/>
        <v>SA</v>
      </c>
      <c r="P74" t="str">
        <f t="shared" si="3"/>
        <v>BAC-CIP</v>
      </c>
      <c r="Q74">
        <f>Table3[[#This Row],[Synergy.score]]</f>
        <v>1.387</v>
      </c>
      <c r="R74">
        <f>Table3[[#This Row],[Most.synergistic.area.score]]</f>
        <v>11.262</v>
      </c>
    </row>
    <row r="75" spans="1:18" x14ac:dyDescent="0.35">
      <c r="A75" t="s">
        <v>80</v>
      </c>
      <c r="B75">
        <v>-6.3250000000000002</v>
      </c>
      <c r="C75">
        <v>17.821999999999999</v>
      </c>
      <c r="D75" t="s">
        <v>7</v>
      </c>
      <c r="F75">
        <v>-7.5030000000000001</v>
      </c>
      <c r="H75" t="str" cm="1">
        <f t="array" ref="H75:I75">_xlfn.TEXTSPLIT(Table3[[#This Row],[Drug.combination]], " - ")</f>
        <v>CIP[SE]</v>
      </c>
      <c r="I75" t="str">
        <v>BAC[SE]</v>
      </c>
      <c r="J75" t="str" cm="1">
        <f t="array" ref="J75:K75">_xlfn.TEXTSPLIT(H75, "[")</f>
        <v>CIP</v>
      </c>
      <c r="K75" t="str">
        <v>SE]</v>
      </c>
      <c r="L75" t="str" cm="1">
        <f t="array" ref="L75:M75">_xlfn.TEXTSPLIT(I75, "[")</f>
        <v>BAC</v>
      </c>
      <c r="M75" t="str">
        <v>SE]</v>
      </c>
      <c r="O75" t="str">
        <f t="shared" si="2"/>
        <v>SE</v>
      </c>
      <c r="P75" t="str">
        <f t="shared" si="3"/>
        <v>BAC-CIP</v>
      </c>
      <c r="Q75">
        <f>Table3[[#This Row],[Synergy.score]]</f>
        <v>-6.3250000000000002</v>
      </c>
      <c r="R75">
        <f>Table3[[#This Row],[Most.synergistic.area.score]]</f>
        <v>17.821999999999999</v>
      </c>
    </row>
    <row r="76" spans="1:18" x14ac:dyDescent="0.35">
      <c r="A76" t="s">
        <v>81</v>
      </c>
      <c r="B76">
        <v>-4.1840000000000002</v>
      </c>
      <c r="C76">
        <v>6.0839999999999996</v>
      </c>
      <c r="D76" t="s">
        <v>7</v>
      </c>
      <c r="F76">
        <v>-2.8929999999999998</v>
      </c>
      <c r="H76" t="str" cm="1">
        <f t="array" ref="H76:I76">_xlfn.TEXTSPLIT(Table3[[#This Row],[Drug.combination]], " - ")</f>
        <v>CIP[PS]</v>
      </c>
      <c r="I76" t="str">
        <v>BAC[PS]</v>
      </c>
      <c r="J76" t="str" cm="1">
        <f t="array" ref="J76:K76">_xlfn.TEXTSPLIT(H76, "[")</f>
        <v>CIP</v>
      </c>
      <c r="K76" t="str">
        <v>PS]</v>
      </c>
      <c r="L76" t="str" cm="1">
        <f t="array" ref="L76:M76">_xlfn.TEXTSPLIT(I76, "[")</f>
        <v>BAC</v>
      </c>
      <c r="M76" t="str">
        <v>PS]</v>
      </c>
      <c r="O76" t="str">
        <f t="shared" si="2"/>
        <v>PS</v>
      </c>
      <c r="P76" t="str">
        <f t="shared" si="3"/>
        <v>BAC-CIP</v>
      </c>
      <c r="Q76">
        <f>Table3[[#This Row],[Synergy.score]]</f>
        <v>-4.1840000000000002</v>
      </c>
      <c r="R76">
        <f>Table3[[#This Row],[Most.synergistic.area.score]]</f>
        <v>6.0839999999999996</v>
      </c>
    </row>
    <row r="77" spans="1:18" x14ac:dyDescent="0.35">
      <c r="A77" t="s">
        <v>82</v>
      </c>
      <c r="B77">
        <v>-1.3149999999999999</v>
      </c>
      <c r="C77">
        <v>1.071</v>
      </c>
      <c r="D77" t="s">
        <v>7</v>
      </c>
      <c r="F77">
        <v>-1.28</v>
      </c>
      <c r="H77" t="str" cm="1">
        <f t="array" ref="H77:I77">_xlfn.TEXTSPLIT(Table3[[#This Row],[Drug.combination]], " - ")</f>
        <v>CIP[PS_MDR]</v>
      </c>
      <c r="I77" t="str">
        <v>BAC[PS_MDR]</v>
      </c>
      <c r="J77" t="str" cm="1">
        <f t="array" ref="J77:K77">_xlfn.TEXTSPLIT(H77, "[")</f>
        <v>CIP</v>
      </c>
      <c r="K77" t="str">
        <v>PS_MDR]</v>
      </c>
      <c r="L77" t="str" cm="1">
        <f t="array" ref="L77:M77">_xlfn.TEXTSPLIT(I77, "[")</f>
        <v>BAC</v>
      </c>
      <c r="M77" t="str">
        <v>PS_MDR]</v>
      </c>
      <c r="O77" t="str">
        <f t="shared" si="2"/>
        <v>PS_MDR</v>
      </c>
      <c r="P77" t="str">
        <f t="shared" si="3"/>
        <v>BAC-CIP</v>
      </c>
      <c r="Q77">
        <f>Table3[[#This Row],[Synergy.score]]</f>
        <v>-1.3149999999999999</v>
      </c>
      <c r="R77">
        <f>Table3[[#This Row],[Most.synergistic.area.score]]</f>
        <v>1.071</v>
      </c>
    </row>
    <row r="78" spans="1:18" x14ac:dyDescent="0.35">
      <c r="A78" t="s">
        <v>83</v>
      </c>
      <c r="B78">
        <v>-2.2519999999999998</v>
      </c>
      <c r="C78">
        <v>16.645</v>
      </c>
      <c r="D78" t="s">
        <v>7</v>
      </c>
      <c r="F78">
        <v>-1.0620000000000001</v>
      </c>
      <c r="H78" t="str" cm="1">
        <f t="array" ref="H78:I78">_xlfn.TEXTSPLIT(Table3[[#This Row],[Drug.combination]], " - ")</f>
        <v>GEN[SA]</v>
      </c>
      <c r="I78" t="str">
        <v>BAC[SA]</v>
      </c>
      <c r="J78" t="str" cm="1">
        <f t="array" ref="J78:K78">_xlfn.TEXTSPLIT(H78, "[")</f>
        <v>GEN</v>
      </c>
      <c r="K78" t="str">
        <v>SA]</v>
      </c>
      <c r="L78" t="str" cm="1">
        <f t="array" ref="L78:M78">_xlfn.TEXTSPLIT(I78, "[")</f>
        <v>BAC</v>
      </c>
      <c r="M78" t="str">
        <v>SA]</v>
      </c>
      <c r="O78" t="str">
        <f t="shared" si="2"/>
        <v>SA</v>
      </c>
      <c r="P78" t="str">
        <f t="shared" si="3"/>
        <v>BAC-GEN</v>
      </c>
      <c r="Q78">
        <f>Table3[[#This Row],[Synergy.score]]</f>
        <v>-2.2519999999999998</v>
      </c>
      <c r="R78">
        <f>Table3[[#This Row],[Most.synergistic.area.score]]</f>
        <v>16.645</v>
      </c>
    </row>
    <row r="79" spans="1:18" x14ac:dyDescent="0.35">
      <c r="A79" t="s">
        <v>84</v>
      </c>
      <c r="B79">
        <v>-0.55000000000000004</v>
      </c>
      <c r="C79">
        <v>3.3690000000000002</v>
      </c>
      <c r="D79" t="s">
        <v>7</v>
      </c>
      <c r="F79">
        <v>-0.44600000000000001</v>
      </c>
      <c r="H79" t="str" cm="1">
        <f t="array" ref="H79:I79">_xlfn.TEXTSPLIT(Table3[[#This Row],[Drug.combination]], " - ")</f>
        <v>GEN[SE]</v>
      </c>
      <c r="I79" t="str">
        <v>BAC[SE]</v>
      </c>
      <c r="J79" t="str" cm="1">
        <f t="array" ref="J79:K79">_xlfn.TEXTSPLIT(H79, "[")</f>
        <v>GEN</v>
      </c>
      <c r="K79" t="str">
        <v>SE]</v>
      </c>
      <c r="L79" t="str" cm="1">
        <f t="array" ref="L79:M79">_xlfn.TEXTSPLIT(I79, "[")</f>
        <v>BAC</v>
      </c>
      <c r="M79" t="str">
        <v>SE]</v>
      </c>
      <c r="O79" t="str">
        <f t="shared" si="2"/>
        <v>SE</v>
      </c>
      <c r="P79" t="str">
        <f t="shared" si="3"/>
        <v>BAC-GEN</v>
      </c>
      <c r="Q79">
        <f>Table3[[#This Row],[Synergy.score]]</f>
        <v>-0.55000000000000004</v>
      </c>
      <c r="R79">
        <f>Table3[[#This Row],[Most.synergistic.area.score]]</f>
        <v>3.3690000000000002</v>
      </c>
    </row>
    <row r="80" spans="1:18" x14ac:dyDescent="0.35">
      <c r="A80" t="s">
        <v>85</v>
      </c>
      <c r="B80">
        <v>-0.77400000000000002</v>
      </c>
      <c r="C80">
        <v>7.9329999999999998</v>
      </c>
      <c r="D80" t="s">
        <v>7</v>
      </c>
      <c r="F80">
        <v>-0.81699999999999995</v>
      </c>
      <c r="H80" t="str" cm="1">
        <f t="array" ref="H80:I80">_xlfn.TEXTSPLIT(Table3[[#This Row],[Drug.combination]], " - ")</f>
        <v>GEN[PS]</v>
      </c>
      <c r="I80" t="str">
        <v>BAC[PS]</v>
      </c>
      <c r="J80" t="str" cm="1">
        <f t="array" ref="J80:K80">_xlfn.TEXTSPLIT(H80, "[")</f>
        <v>GEN</v>
      </c>
      <c r="K80" t="str">
        <v>PS]</v>
      </c>
      <c r="L80" t="str" cm="1">
        <f t="array" ref="L80:M80">_xlfn.TEXTSPLIT(I80, "[")</f>
        <v>BAC</v>
      </c>
      <c r="M80" t="str">
        <v>PS]</v>
      </c>
      <c r="O80" t="str">
        <f t="shared" si="2"/>
        <v>PS</v>
      </c>
      <c r="P80" t="str">
        <f t="shared" si="3"/>
        <v>BAC-GEN</v>
      </c>
      <c r="Q80">
        <f>Table3[[#This Row],[Synergy.score]]</f>
        <v>-0.77400000000000002</v>
      </c>
      <c r="R80">
        <f>Table3[[#This Row],[Most.synergistic.area.score]]</f>
        <v>7.9329999999999998</v>
      </c>
    </row>
    <row r="81" spans="1:18" x14ac:dyDescent="0.35">
      <c r="A81" t="s">
        <v>86</v>
      </c>
      <c r="B81">
        <v>-1.7529999999999999</v>
      </c>
      <c r="C81">
        <v>0.21</v>
      </c>
      <c r="D81" t="s">
        <v>7</v>
      </c>
      <c r="F81">
        <v>-1.732</v>
      </c>
      <c r="H81" t="str" cm="1">
        <f t="array" ref="H81:I81">_xlfn.TEXTSPLIT(Table3[[#This Row],[Drug.combination]], " - ")</f>
        <v>GEN[PS_MDR]</v>
      </c>
      <c r="I81" t="str">
        <v>BAC[PS_MDR]</v>
      </c>
      <c r="J81" t="str" cm="1">
        <f t="array" ref="J81:K81">_xlfn.TEXTSPLIT(H81, "[")</f>
        <v>GEN</v>
      </c>
      <c r="K81" t="str">
        <v>PS_MDR]</v>
      </c>
      <c r="L81" t="str" cm="1">
        <f t="array" ref="L81:M81">_xlfn.TEXTSPLIT(I81, "[")</f>
        <v>BAC</v>
      </c>
      <c r="M81" t="str">
        <v>PS_MDR]</v>
      </c>
      <c r="O81" t="str">
        <f t="shared" si="2"/>
        <v>PS_MDR</v>
      </c>
      <c r="P81" t="str">
        <f t="shared" si="3"/>
        <v>BAC-GEN</v>
      </c>
      <c r="Q81">
        <f>Table3[[#This Row],[Synergy.score]]</f>
        <v>-1.7529999999999999</v>
      </c>
      <c r="R81">
        <f>Table3[[#This Row],[Most.synergistic.area.score]]</f>
        <v>0.21</v>
      </c>
    </row>
    <row r="82" spans="1:18" x14ac:dyDescent="0.35">
      <c r="A82" t="s">
        <v>87</v>
      </c>
      <c r="B82">
        <v>-0.33600000000000002</v>
      </c>
      <c r="C82">
        <v>2.7759999999999998</v>
      </c>
      <c r="D82" t="s">
        <v>7</v>
      </c>
      <c r="F82">
        <v>-0.107</v>
      </c>
      <c r="H82" t="str" cm="1">
        <f t="array" ref="H82:I82">_xlfn.TEXTSPLIT(Table3[[#This Row],[Drug.combination]], " - ")</f>
        <v>DXR[SA_ATCC]</v>
      </c>
      <c r="I82" t="str">
        <v>BZK[SA_ATCC]</v>
      </c>
      <c r="J82" t="str" cm="1">
        <f t="array" ref="J82:K82">_xlfn.TEXTSPLIT(H82, "[")</f>
        <v>DXR</v>
      </c>
      <c r="K82" t="str">
        <v>SA_ATCC]</v>
      </c>
      <c r="L82" t="str" cm="1">
        <f t="array" ref="L82:M82">_xlfn.TEXTSPLIT(I82, "[")</f>
        <v>BZK</v>
      </c>
      <c r="M82" t="str">
        <v>SA_ATCC]</v>
      </c>
      <c r="O82" t="str">
        <f t="shared" si="2"/>
        <v>SA_ATCC</v>
      </c>
      <c r="P82" t="str">
        <f t="shared" si="3"/>
        <v>BZK-DXR</v>
      </c>
      <c r="Q82">
        <f>Table3[[#This Row],[Synergy.score]]</f>
        <v>-0.33600000000000002</v>
      </c>
      <c r="R82">
        <f>Table3[[#This Row],[Most.synergistic.area.score]]</f>
        <v>2.7759999999999998</v>
      </c>
    </row>
    <row r="83" spans="1:18" x14ac:dyDescent="0.35">
      <c r="A83" t="s">
        <v>88</v>
      </c>
      <c r="B83">
        <v>-8.2170000000000005</v>
      </c>
      <c r="C83">
        <v>3.774</v>
      </c>
      <c r="D83" t="s">
        <v>7</v>
      </c>
      <c r="F83">
        <v>-5.8550000000000004</v>
      </c>
      <c r="H83" t="str" cm="1">
        <f t="array" ref="H83:I83">_xlfn.TEXTSPLIT(Table3[[#This Row],[Drug.combination]], " - ")</f>
        <v>DXR[PS_ATCC]</v>
      </c>
      <c r="I83" t="str">
        <v>BZK[PS_ATCC]</v>
      </c>
      <c r="J83" t="str" cm="1">
        <f t="array" ref="J83:K83">_xlfn.TEXTSPLIT(H83, "[")</f>
        <v>DXR</v>
      </c>
      <c r="K83" t="str">
        <v>PS_ATCC]</v>
      </c>
      <c r="L83" t="str" cm="1">
        <f t="array" ref="L83:M83">_xlfn.TEXTSPLIT(I83, "[")</f>
        <v>BZK</v>
      </c>
      <c r="M83" t="str">
        <v>PS_ATCC]</v>
      </c>
      <c r="O83" t="str">
        <f t="shared" si="2"/>
        <v>PS_ATCC</v>
      </c>
      <c r="P83" t="str">
        <f t="shared" si="3"/>
        <v>BZK-DXR</v>
      </c>
      <c r="Q83">
        <f>Table3[[#This Row],[Synergy.score]]</f>
        <v>-8.2170000000000005</v>
      </c>
      <c r="R83">
        <f>Table3[[#This Row],[Most.synergistic.area.score]]</f>
        <v>3.774</v>
      </c>
    </row>
    <row r="84" spans="1:18" x14ac:dyDescent="0.35">
      <c r="A84" t="s">
        <v>89</v>
      </c>
      <c r="B84">
        <v>0.73899999999999999</v>
      </c>
      <c r="C84">
        <v>6.56</v>
      </c>
      <c r="D84" t="s">
        <v>7</v>
      </c>
      <c r="F84">
        <v>0.36099999999999999</v>
      </c>
      <c r="H84" t="str" cm="1">
        <f t="array" ref="H84:I84">_xlfn.TEXTSPLIT(Table3[[#This Row],[Drug.combination]], " - ")</f>
        <v>DXR[SA]</v>
      </c>
      <c r="I84" t="str">
        <v>BZK[SA]</v>
      </c>
      <c r="J84" t="str" cm="1">
        <f t="array" ref="J84:K84">_xlfn.TEXTSPLIT(H84, "[")</f>
        <v>DXR</v>
      </c>
      <c r="K84" t="str">
        <v>SA]</v>
      </c>
      <c r="L84" t="str" cm="1">
        <f t="array" ref="L84:M84">_xlfn.TEXTSPLIT(I84, "[")</f>
        <v>BZK</v>
      </c>
      <c r="M84" t="str">
        <v>SA]</v>
      </c>
      <c r="O84" t="str">
        <f t="shared" si="2"/>
        <v>SA</v>
      </c>
      <c r="P84" t="str">
        <f t="shared" si="3"/>
        <v>BZK-DXR</v>
      </c>
      <c r="Q84">
        <f>Table3[[#This Row],[Synergy.score]]</f>
        <v>0.73899999999999999</v>
      </c>
      <c r="R84">
        <f>Table3[[#This Row],[Most.synergistic.area.score]]</f>
        <v>6.56</v>
      </c>
    </row>
    <row r="85" spans="1:18" x14ac:dyDescent="0.35">
      <c r="A85" t="s">
        <v>90</v>
      </c>
      <c r="B85">
        <v>-0.28899999999999998</v>
      </c>
      <c r="C85">
        <v>0.997</v>
      </c>
      <c r="D85" t="s">
        <v>7</v>
      </c>
      <c r="F85">
        <v>-1E-3</v>
      </c>
      <c r="H85" t="str" cm="1">
        <f t="array" ref="H85:I85">_xlfn.TEXTSPLIT(Table3[[#This Row],[Drug.combination]], " - ")</f>
        <v>DXR[SE]</v>
      </c>
      <c r="I85" t="str">
        <v>BZK[SE]</v>
      </c>
      <c r="J85" t="str" cm="1">
        <f t="array" ref="J85:K85">_xlfn.TEXTSPLIT(H85, "[")</f>
        <v>DXR</v>
      </c>
      <c r="K85" t="str">
        <v>SE]</v>
      </c>
      <c r="L85" t="str" cm="1">
        <f t="array" ref="L85:M85">_xlfn.TEXTSPLIT(I85, "[")</f>
        <v>BZK</v>
      </c>
      <c r="M85" t="str">
        <v>SE]</v>
      </c>
      <c r="O85" t="str">
        <f t="shared" si="2"/>
        <v>SE</v>
      </c>
      <c r="P85" t="str">
        <f t="shared" si="3"/>
        <v>BZK-DXR</v>
      </c>
      <c r="Q85">
        <f>Table3[[#This Row],[Synergy.score]]</f>
        <v>-0.28899999999999998</v>
      </c>
      <c r="R85">
        <f>Table3[[#This Row],[Most.synergistic.area.score]]</f>
        <v>0.997</v>
      </c>
    </row>
    <row r="86" spans="1:18" x14ac:dyDescent="0.35">
      <c r="A86" t="s">
        <v>91</v>
      </c>
      <c r="B86">
        <v>-5.8949999999999996</v>
      </c>
      <c r="C86">
        <v>3.92</v>
      </c>
      <c r="D86" t="s">
        <v>7</v>
      </c>
      <c r="F86">
        <v>-4.7300000000000004</v>
      </c>
      <c r="H86" t="str" cm="1">
        <f t="array" ref="H86:I86">_xlfn.TEXTSPLIT(Table3[[#This Row],[Drug.combination]], " - ")</f>
        <v>DXR[PS]</v>
      </c>
      <c r="I86" t="str">
        <v>BZK[PS]</v>
      </c>
      <c r="J86" t="str" cm="1">
        <f t="array" ref="J86:K86">_xlfn.TEXTSPLIT(H86, "[")</f>
        <v>DXR</v>
      </c>
      <c r="K86" t="str">
        <v>PS]</v>
      </c>
      <c r="L86" t="str" cm="1">
        <f t="array" ref="L86:M86">_xlfn.TEXTSPLIT(I86, "[")</f>
        <v>BZK</v>
      </c>
      <c r="M86" t="str">
        <v>PS]</v>
      </c>
      <c r="O86" t="str">
        <f t="shared" si="2"/>
        <v>PS</v>
      </c>
      <c r="P86" t="str">
        <f t="shared" si="3"/>
        <v>BZK-DXR</v>
      </c>
      <c r="Q86">
        <f>Table3[[#This Row],[Synergy.score]]</f>
        <v>-5.8949999999999996</v>
      </c>
      <c r="R86">
        <f>Table3[[#This Row],[Most.synergistic.area.score]]</f>
        <v>3.92</v>
      </c>
    </row>
    <row r="87" spans="1:18" x14ac:dyDescent="0.35">
      <c r="A87" t="s">
        <v>92</v>
      </c>
      <c r="B87">
        <v>1.026</v>
      </c>
      <c r="C87">
        <v>8.2279999999999998</v>
      </c>
      <c r="D87" t="s">
        <v>7</v>
      </c>
      <c r="F87">
        <v>0.93600000000000005</v>
      </c>
      <c r="H87" t="str" cm="1">
        <f t="array" ref="H87:I87">_xlfn.TEXTSPLIT(Table3[[#This Row],[Drug.combination]], " - ")</f>
        <v>DXR[PS_MDR]</v>
      </c>
      <c r="I87" t="str">
        <v>BZK[PS_MDR]</v>
      </c>
      <c r="J87" t="str" cm="1">
        <f t="array" ref="J87:K87">_xlfn.TEXTSPLIT(H87, "[")</f>
        <v>DXR</v>
      </c>
      <c r="K87" t="str">
        <v>PS_MDR]</v>
      </c>
      <c r="L87" t="str" cm="1">
        <f t="array" ref="L87:M87">_xlfn.TEXTSPLIT(I87, "[")</f>
        <v>BZK</v>
      </c>
      <c r="M87" t="str">
        <v>PS_MDR]</v>
      </c>
      <c r="O87" t="str">
        <f t="shared" si="2"/>
        <v>PS_MDR</v>
      </c>
      <c r="P87" t="str">
        <f t="shared" si="3"/>
        <v>BZK-DXR</v>
      </c>
      <c r="Q87">
        <f>Table3[[#This Row],[Synergy.score]]</f>
        <v>1.026</v>
      </c>
      <c r="R87">
        <f>Table3[[#This Row],[Most.synergistic.area.score]]</f>
        <v>8.2279999999999998</v>
      </c>
    </row>
    <row r="88" spans="1:18" x14ac:dyDescent="0.35">
      <c r="A88" t="s">
        <v>93</v>
      </c>
      <c r="B88">
        <v>3.2069999999999999</v>
      </c>
      <c r="C88">
        <v>15.856</v>
      </c>
      <c r="D88" t="s">
        <v>7</v>
      </c>
      <c r="F88">
        <v>0.90800000000000003</v>
      </c>
      <c r="H88" t="str" cm="1">
        <f t="array" ref="H88:I88">_xlfn.TEXTSPLIT(Table3[[#This Row],[Drug.combination]], " - ")</f>
        <v>DOX[SA]</v>
      </c>
      <c r="I88" t="str">
        <v>CCCP[SA]</v>
      </c>
      <c r="J88" t="str" cm="1">
        <f t="array" ref="J88:K88">_xlfn.TEXTSPLIT(H88, "[")</f>
        <v>DOX</v>
      </c>
      <c r="K88" t="str">
        <v>SA]</v>
      </c>
      <c r="L88" t="str" cm="1">
        <f t="array" ref="L88:M88">_xlfn.TEXTSPLIT(I88, "[")</f>
        <v>CCCP</v>
      </c>
      <c r="M88" t="str">
        <v>SA]</v>
      </c>
      <c r="O88" t="str">
        <f t="shared" si="2"/>
        <v>SA</v>
      </c>
      <c r="P88" t="str">
        <f t="shared" si="3"/>
        <v>CCCP-DOX</v>
      </c>
      <c r="Q88">
        <f>Table3[[#This Row],[Synergy.score]]</f>
        <v>3.2069999999999999</v>
      </c>
      <c r="R88">
        <f>Table3[[#This Row],[Most.synergistic.area.score]]</f>
        <v>15.856</v>
      </c>
    </row>
    <row r="89" spans="1:18" x14ac:dyDescent="0.35">
      <c r="A89" t="s">
        <v>94</v>
      </c>
      <c r="B89">
        <v>3.391</v>
      </c>
      <c r="C89">
        <v>22.24</v>
      </c>
      <c r="D89" t="s">
        <v>7</v>
      </c>
      <c r="F89">
        <v>1.4870000000000001</v>
      </c>
      <c r="H89" t="str" cm="1">
        <f t="array" ref="H89:I89">_xlfn.TEXTSPLIT(Table3[[#This Row],[Drug.combination]], " - ")</f>
        <v>DOX[SE]</v>
      </c>
      <c r="I89" t="str">
        <v>CCCP[SE]</v>
      </c>
      <c r="J89" t="str" cm="1">
        <f t="array" ref="J89:K89">_xlfn.TEXTSPLIT(H89, "[")</f>
        <v>DOX</v>
      </c>
      <c r="K89" t="str">
        <v>SE]</v>
      </c>
      <c r="L89" t="str" cm="1">
        <f t="array" ref="L89:M89">_xlfn.TEXTSPLIT(I89, "[")</f>
        <v>CCCP</v>
      </c>
      <c r="M89" t="str">
        <v>SE]</v>
      </c>
      <c r="O89" t="str">
        <f t="shared" si="2"/>
        <v>SE</v>
      </c>
      <c r="P89" t="str">
        <f t="shared" si="3"/>
        <v>CCCP-DOX</v>
      </c>
      <c r="Q89">
        <f>Table3[[#This Row],[Synergy.score]]</f>
        <v>3.391</v>
      </c>
      <c r="R89">
        <f>Table3[[#This Row],[Most.synergistic.area.score]]</f>
        <v>22.24</v>
      </c>
    </row>
    <row r="90" spans="1:18" x14ac:dyDescent="0.35">
      <c r="A90" t="s">
        <v>95</v>
      </c>
      <c r="B90">
        <v>-9.8550000000000004</v>
      </c>
      <c r="C90">
        <v>-0.39200000000000002</v>
      </c>
      <c r="D90" t="s">
        <v>7</v>
      </c>
      <c r="F90">
        <v>-9.4280000000000008</v>
      </c>
      <c r="H90" t="str" cm="1">
        <f t="array" ref="H90:I90">_xlfn.TEXTSPLIT(Table3[[#This Row],[Drug.combination]], " - ")</f>
        <v>DOX[PS]</v>
      </c>
      <c r="I90" t="str">
        <v>CCCP[PS]</v>
      </c>
      <c r="J90" t="str" cm="1">
        <f t="array" ref="J90:K90">_xlfn.TEXTSPLIT(H90, "[")</f>
        <v>DOX</v>
      </c>
      <c r="K90" t="str">
        <v>PS]</v>
      </c>
      <c r="L90" t="str" cm="1">
        <f t="array" ref="L90:M90">_xlfn.TEXTSPLIT(I90, "[")</f>
        <v>CCCP</v>
      </c>
      <c r="M90" t="str">
        <v>PS]</v>
      </c>
      <c r="O90" t="str">
        <f t="shared" si="2"/>
        <v>PS</v>
      </c>
      <c r="P90" t="str">
        <f t="shared" si="3"/>
        <v>CCCP-DOX</v>
      </c>
      <c r="Q90">
        <f>Table3[[#This Row],[Synergy.score]]</f>
        <v>-9.8550000000000004</v>
      </c>
      <c r="R90">
        <f>Table3[[#This Row],[Most.synergistic.area.score]]</f>
        <v>-0.39200000000000002</v>
      </c>
    </row>
    <row r="91" spans="1:18" x14ac:dyDescent="0.35">
      <c r="A91" t="s">
        <v>96</v>
      </c>
      <c r="B91">
        <v>-2.5680000000000001</v>
      </c>
      <c r="C91">
        <v>-0.45200000000000001</v>
      </c>
      <c r="D91" t="s">
        <v>7</v>
      </c>
      <c r="F91">
        <v>-2.4079999999999999</v>
      </c>
      <c r="H91" t="str" cm="1">
        <f t="array" ref="H91:I91">_xlfn.TEXTSPLIT(Table3[[#This Row],[Drug.combination]], " - ")</f>
        <v>DOX[PS_MDR]</v>
      </c>
      <c r="I91" t="str">
        <v>CCCP[PS_MDR]</v>
      </c>
      <c r="J91" t="str" cm="1">
        <f t="array" ref="J91:K91">_xlfn.TEXTSPLIT(H91, "[")</f>
        <v>DOX</v>
      </c>
      <c r="K91" t="str">
        <v>PS_MDR]</v>
      </c>
      <c r="L91" t="str" cm="1">
        <f t="array" ref="L91:M91">_xlfn.TEXTSPLIT(I91, "[")</f>
        <v>CCCP</v>
      </c>
      <c r="M91" t="str">
        <v>PS_MDR]</v>
      </c>
      <c r="O91" t="str">
        <f t="shared" si="2"/>
        <v>PS_MDR</v>
      </c>
      <c r="P91" t="str">
        <f t="shared" si="3"/>
        <v>CCCP-DOX</v>
      </c>
      <c r="Q91">
        <f>Table3[[#This Row],[Synergy.score]]</f>
        <v>-2.5680000000000001</v>
      </c>
      <c r="R91">
        <f>Table3[[#This Row],[Most.synergistic.area.score]]</f>
        <v>-0.45200000000000001</v>
      </c>
    </row>
    <row r="92" spans="1:18" x14ac:dyDescent="0.35">
      <c r="A92" t="s">
        <v>97</v>
      </c>
      <c r="B92">
        <v>5.0519999999999996</v>
      </c>
      <c r="C92">
        <v>26.777999999999999</v>
      </c>
      <c r="D92" t="s">
        <v>7</v>
      </c>
      <c r="F92">
        <v>1.663</v>
      </c>
      <c r="H92" t="str" cm="1">
        <f t="array" ref="H92:I92">_xlfn.TEXTSPLIT(Table3[[#This Row],[Drug.combination]], " - ")</f>
        <v>SPI[SA]</v>
      </c>
      <c r="I92" t="str">
        <v>CCCP[SA]</v>
      </c>
      <c r="J92" t="str" cm="1">
        <f t="array" ref="J92:K92">_xlfn.TEXTSPLIT(H92, "[")</f>
        <v>SPI</v>
      </c>
      <c r="K92" t="str">
        <v>SA]</v>
      </c>
      <c r="L92" t="str" cm="1">
        <f t="array" ref="L92:M92">_xlfn.TEXTSPLIT(I92, "[")</f>
        <v>CCCP</v>
      </c>
      <c r="M92" t="str">
        <v>SA]</v>
      </c>
      <c r="O92" t="str">
        <f t="shared" si="2"/>
        <v>SA</v>
      </c>
      <c r="P92" t="str">
        <f t="shared" si="3"/>
        <v>CCCP-SPI</v>
      </c>
      <c r="Q92">
        <f>Table3[[#This Row],[Synergy.score]]</f>
        <v>5.0519999999999996</v>
      </c>
      <c r="R92">
        <f>Table3[[#This Row],[Most.synergistic.area.score]]</f>
        <v>26.777999999999999</v>
      </c>
    </row>
    <row r="93" spans="1:18" x14ac:dyDescent="0.35">
      <c r="A93" t="s">
        <v>98</v>
      </c>
      <c r="B93">
        <v>4.9569999999999999</v>
      </c>
      <c r="C93">
        <v>24.532</v>
      </c>
      <c r="D93" t="s">
        <v>7</v>
      </c>
      <c r="F93">
        <v>1.256</v>
      </c>
      <c r="H93" t="str" cm="1">
        <f t="array" ref="H93:I93">_xlfn.TEXTSPLIT(Table3[[#This Row],[Drug.combination]], " - ")</f>
        <v>SPI[SE]</v>
      </c>
      <c r="I93" t="str">
        <v>CCCP[SE]</v>
      </c>
      <c r="J93" t="str" cm="1">
        <f t="array" ref="J93:K93">_xlfn.TEXTSPLIT(H93, "[")</f>
        <v>SPI</v>
      </c>
      <c r="K93" t="str">
        <v>SE]</v>
      </c>
      <c r="L93" t="str" cm="1">
        <f t="array" ref="L93:M93">_xlfn.TEXTSPLIT(I93, "[")</f>
        <v>CCCP</v>
      </c>
      <c r="M93" t="str">
        <v>SE]</v>
      </c>
      <c r="O93" t="str">
        <f t="shared" si="2"/>
        <v>SE</v>
      </c>
      <c r="P93" t="str">
        <f t="shared" si="3"/>
        <v>CCCP-SPI</v>
      </c>
      <c r="Q93">
        <f>Table3[[#This Row],[Synergy.score]]</f>
        <v>4.9569999999999999</v>
      </c>
      <c r="R93">
        <f>Table3[[#This Row],[Most.synergistic.area.score]]</f>
        <v>24.532</v>
      </c>
    </row>
    <row r="94" spans="1:18" x14ac:dyDescent="0.35">
      <c r="A94" t="s">
        <v>99</v>
      </c>
      <c r="B94">
        <v>-5.5750000000000002</v>
      </c>
      <c r="C94">
        <v>-2.0699999999999998</v>
      </c>
      <c r="D94" t="s">
        <v>7</v>
      </c>
      <c r="F94">
        <v>-5.157</v>
      </c>
      <c r="H94" t="str" cm="1">
        <f t="array" ref="H94:I94">_xlfn.TEXTSPLIT(Table3[[#This Row],[Drug.combination]], " - ")</f>
        <v>SPI[PS]</v>
      </c>
      <c r="I94" t="str">
        <v>CCCP[PS]</v>
      </c>
      <c r="J94" t="str" cm="1">
        <f t="array" ref="J94:K94">_xlfn.TEXTSPLIT(H94, "[")</f>
        <v>SPI</v>
      </c>
      <c r="K94" t="str">
        <v>PS]</v>
      </c>
      <c r="L94" t="str" cm="1">
        <f t="array" ref="L94:M94">_xlfn.TEXTSPLIT(I94, "[")</f>
        <v>CCCP</v>
      </c>
      <c r="M94" t="str">
        <v>PS]</v>
      </c>
      <c r="O94" t="str">
        <f t="shared" si="2"/>
        <v>PS</v>
      </c>
      <c r="P94" t="str">
        <f t="shared" si="3"/>
        <v>CCCP-SPI</v>
      </c>
      <c r="Q94">
        <f>Table3[[#This Row],[Synergy.score]]</f>
        <v>-5.5750000000000002</v>
      </c>
      <c r="R94">
        <f>Table3[[#This Row],[Most.synergistic.area.score]]</f>
        <v>-2.0699999999999998</v>
      </c>
    </row>
    <row r="95" spans="1:18" x14ac:dyDescent="0.35">
      <c r="A95" t="s">
        <v>100</v>
      </c>
      <c r="B95">
        <v>-1.9470000000000001</v>
      </c>
      <c r="C95">
        <v>0.48799999999999999</v>
      </c>
      <c r="D95" t="s">
        <v>7</v>
      </c>
      <c r="F95">
        <v>-1.9259999999999999</v>
      </c>
      <c r="H95" t="str" cm="1">
        <f t="array" ref="H95:I95">_xlfn.TEXTSPLIT(Table3[[#This Row],[Drug.combination]], " - ")</f>
        <v>SPI[PS_MDR]</v>
      </c>
      <c r="I95" t="str">
        <v>CCCP[PS_MDR]</v>
      </c>
      <c r="J95" t="str" cm="1">
        <f t="array" ref="J95:K95">_xlfn.TEXTSPLIT(H95, "[")</f>
        <v>SPI</v>
      </c>
      <c r="K95" t="str">
        <v>PS_MDR]</v>
      </c>
      <c r="L95" t="str" cm="1">
        <f t="array" ref="L95:M95">_xlfn.TEXTSPLIT(I95, "[")</f>
        <v>CCCP</v>
      </c>
      <c r="M95" t="str">
        <v>PS_MDR]</v>
      </c>
      <c r="O95" t="str">
        <f t="shared" si="2"/>
        <v>PS_MDR</v>
      </c>
      <c r="P95" t="str">
        <f t="shared" si="3"/>
        <v>CCCP-SPI</v>
      </c>
      <c r="Q95">
        <f>Table3[[#This Row],[Synergy.score]]</f>
        <v>-1.9470000000000001</v>
      </c>
      <c r="R95">
        <f>Table3[[#This Row],[Most.synergistic.area.score]]</f>
        <v>0.48799999999999999</v>
      </c>
    </row>
    <row r="96" spans="1:18" x14ac:dyDescent="0.35">
      <c r="A96" t="s">
        <v>101</v>
      </c>
      <c r="B96">
        <v>5.2779999999999996</v>
      </c>
      <c r="C96">
        <v>23.117999999999999</v>
      </c>
      <c r="D96" t="s">
        <v>7</v>
      </c>
      <c r="F96">
        <v>2.016</v>
      </c>
      <c r="H96" t="str" cm="1">
        <f t="array" ref="H96:I96">_xlfn.TEXTSPLIT(Table3[[#This Row],[Drug.combination]], " - ")</f>
        <v>THZ[SA]</v>
      </c>
      <c r="I96" t="str">
        <v>CCCP[SA]</v>
      </c>
      <c r="J96" t="str" cm="1">
        <f t="array" ref="J96:K96">_xlfn.TEXTSPLIT(H96, "[")</f>
        <v>THZ</v>
      </c>
      <c r="K96" t="str">
        <v>SA]</v>
      </c>
      <c r="L96" t="str" cm="1">
        <f t="array" ref="L96:M96">_xlfn.TEXTSPLIT(I96, "[")</f>
        <v>CCCP</v>
      </c>
      <c r="M96" t="str">
        <v>SA]</v>
      </c>
      <c r="O96" t="str">
        <f t="shared" si="2"/>
        <v>SA</v>
      </c>
      <c r="P96" t="str">
        <f t="shared" si="3"/>
        <v>CCCP-THZ</v>
      </c>
      <c r="Q96">
        <f>Table3[[#This Row],[Synergy.score]]</f>
        <v>5.2779999999999996</v>
      </c>
      <c r="R96">
        <f>Table3[[#This Row],[Most.synergistic.area.score]]</f>
        <v>23.117999999999999</v>
      </c>
    </row>
    <row r="97" spans="1:18" x14ac:dyDescent="0.35">
      <c r="A97" t="s">
        <v>102</v>
      </c>
      <c r="B97">
        <v>2.649</v>
      </c>
      <c r="C97">
        <v>20.603999999999999</v>
      </c>
      <c r="D97" t="s">
        <v>7</v>
      </c>
      <c r="F97">
        <v>0.29199999999999998</v>
      </c>
      <c r="H97" t="str" cm="1">
        <f t="array" ref="H97:I97">_xlfn.TEXTSPLIT(Table3[[#This Row],[Drug.combination]], " - ")</f>
        <v>THZ[SE]</v>
      </c>
      <c r="I97" t="str">
        <v>CCCP[SE]</v>
      </c>
      <c r="J97" t="str" cm="1">
        <f t="array" ref="J97:K97">_xlfn.TEXTSPLIT(H97, "[")</f>
        <v>THZ</v>
      </c>
      <c r="K97" t="str">
        <v>SE]</v>
      </c>
      <c r="L97" t="str" cm="1">
        <f t="array" ref="L97:M97">_xlfn.TEXTSPLIT(I97, "[")</f>
        <v>CCCP</v>
      </c>
      <c r="M97" t="str">
        <v>SE]</v>
      </c>
      <c r="O97" t="str">
        <f t="shared" si="2"/>
        <v>SE</v>
      </c>
      <c r="P97" t="str">
        <f t="shared" si="3"/>
        <v>CCCP-THZ</v>
      </c>
      <c r="Q97">
        <f>Table3[[#This Row],[Synergy.score]]</f>
        <v>2.649</v>
      </c>
      <c r="R97">
        <f>Table3[[#This Row],[Most.synergistic.area.score]]</f>
        <v>20.603999999999999</v>
      </c>
    </row>
    <row r="98" spans="1:18" x14ac:dyDescent="0.35">
      <c r="A98" t="s">
        <v>103</v>
      </c>
      <c r="B98">
        <v>-3.88</v>
      </c>
      <c r="C98">
        <v>-2.5000000000000001E-2</v>
      </c>
      <c r="D98" t="s">
        <v>7</v>
      </c>
      <c r="F98">
        <v>-3.8809999999999998</v>
      </c>
      <c r="H98" t="str" cm="1">
        <f t="array" ref="H98:I98">_xlfn.TEXTSPLIT(Table3[[#This Row],[Drug.combination]], " - ")</f>
        <v>THZ[PS]</v>
      </c>
      <c r="I98" t="str">
        <v>CCCP[PS]</v>
      </c>
      <c r="J98" t="str" cm="1">
        <f t="array" ref="J98:K98">_xlfn.TEXTSPLIT(H98, "[")</f>
        <v>THZ</v>
      </c>
      <c r="K98" t="str">
        <v>PS]</v>
      </c>
      <c r="L98" t="str" cm="1">
        <f t="array" ref="L98:M98">_xlfn.TEXTSPLIT(I98, "[")</f>
        <v>CCCP</v>
      </c>
      <c r="M98" t="str">
        <v>PS]</v>
      </c>
      <c r="O98" t="str">
        <f t="shared" si="2"/>
        <v>PS</v>
      </c>
      <c r="P98" t="str">
        <f t="shared" si="3"/>
        <v>CCCP-THZ</v>
      </c>
      <c r="Q98">
        <f>Table3[[#This Row],[Synergy.score]]</f>
        <v>-3.88</v>
      </c>
      <c r="R98">
        <f>Table3[[#This Row],[Most.synergistic.area.score]]</f>
        <v>-2.5000000000000001E-2</v>
      </c>
    </row>
    <row r="99" spans="1:18" x14ac:dyDescent="0.35">
      <c r="A99" t="s">
        <v>104</v>
      </c>
      <c r="B99">
        <v>-0.57999999999999996</v>
      </c>
      <c r="C99">
        <v>2.851</v>
      </c>
      <c r="D99" t="s">
        <v>7</v>
      </c>
      <c r="F99">
        <v>-0.53200000000000003</v>
      </c>
      <c r="H99" t="str" cm="1">
        <f t="array" ref="H99:I99">_xlfn.TEXTSPLIT(Table3[[#This Row],[Drug.combination]], " - ")</f>
        <v>THZ[PS_MDR]</v>
      </c>
      <c r="I99" t="str">
        <v>CCCP[PS_MDR]</v>
      </c>
      <c r="J99" t="str" cm="1">
        <f t="array" ref="J99:K99">_xlfn.TEXTSPLIT(H99, "[")</f>
        <v>THZ</v>
      </c>
      <c r="K99" t="str">
        <v>PS_MDR]</v>
      </c>
      <c r="L99" t="str" cm="1">
        <f t="array" ref="L99:M99">_xlfn.TEXTSPLIT(I99, "[")</f>
        <v>CCCP</v>
      </c>
      <c r="M99" t="str">
        <v>PS_MDR]</v>
      </c>
      <c r="O99" t="str">
        <f t="shared" si="2"/>
        <v>PS_MDR</v>
      </c>
      <c r="P99" t="str">
        <f t="shared" si="3"/>
        <v>CCCP-THZ</v>
      </c>
      <c r="Q99">
        <f>Table3[[#This Row],[Synergy.score]]</f>
        <v>-0.57999999999999996</v>
      </c>
      <c r="R99">
        <f>Table3[[#This Row],[Most.synergistic.area.score]]</f>
        <v>2.851</v>
      </c>
    </row>
    <row r="100" spans="1:18" x14ac:dyDescent="0.35">
      <c r="A100" t="s">
        <v>105</v>
      </c>
      <c r="B100">
        <v>-2.5609999999999999</v>
      </c>
      <c r="C100">
        <v>8.375</v>
      </c>
      <c r="D100" t="s">
        <v>7</v>
      </c>
      <c r="F100">
        <v>-0.44500000000000001</v>
      </c>
      <c r="H100" t="str" cm="1">
        <f t="array" ref="H100:I100">_xlfn.TEXTSPLIT(Table3[[#This Row],[Drug.combination]], " - ")</f>
        <v>CET[SA]</v>
      </c>
      <c r="I100" t="str">
        <v>CER[SA]</v>
      </c>
      <c r="J100" t="str" cm="1">
        <f t="array" ref="J100:K100">_xlfn.TEXTSPLIT(H100, "[")</f>
        <v>CET</v>
      </c>
      <c r="K100" t="str">
        <v>SA]</v>
      </c>
      <c r="L100" t="str" cm="1">
        <f t="array" ref="L100:M100">_xlfn.TEXTSPLIT(I100, "[")</f>
        <v>CER</v>
      </c>
      <c r="M100" t="str">
        <v>SA]</v>
      </c>
      <c r="O100" t="str">
        <f t="shared" si="2"/>
        <v>SA</v>
      </c>
      <c r="P100" t="str">
        <f t="shared" si="3"/>
        <v>CER-CET</v>
      </c>
      <c r="Q100">
        <f>Table3[[#This Row],[Synergy.score]]</f>
        <v>-2.5609999999999999</v>
      </c>
      <c r="R100">
        <f>Table3[[#This Row],[Most.synergistic.area.score]]</f>
        <v>8.375</v>
      </c>
    </row>
    <row r="101" spans="1:18" x14ac:dyDescent="0.35">
      <c r="A101" t="s">
        <v>106</v>
      </c>
      <c r="B101">
        <v>-5.867</v>
      </c>
      <c r="C101">
        <v>14.584</v>
      </c>
      <c r="D101" t="s">
        <v>7</v>
      </c>
      <c r="F101">
        <v>-6.0979999999999999</v>
      </c>
      <c r="H101" t="str" cm="1">
        <f t="array" ref="H101:I101">_xlfn.TEXTSPLIT(Table3[[#This Row],[Drug.combination]], " - ")</f>
        <v>CET[SE]</v>
      </c>
      <c r="I101" t="str">
        <v>CER[SE]</v>
      </c>
      <c r="J101" t="str" cm="1">
        <f t="array" ref="J101:K101">_xlfn.TEXTSPLIT(H101, "[")</f>
        <v>CET</v>
      </c>
      <c r="K101" t="str">
        <v>SE]</v>
      </c>
      <c r="L101" t="str" cm="1">
        <f t="array" ref="L101:M101">_xlfn.TEXTSPLIT(I101, "[")</f>
        <v>CER</v>
      </c>
      <c r="M101" t="str">
        <v>SE]</v>
      </c>
      <c r="O101" t="str">
        <f t="shared" si="2"/>
        <v>SE</v>
      </c>
      <c r="P101" t="str">
        <f t="shared" si="3"/>
        <v>CER-CET</v>
      </c>
      <c r="Q101">
        <f>Table3[[#This Row],[Synergy.score]]</f>
        <v>-5.867</v>
      </c>
      <c r="R101">
        <f>Table3[[#This Row],[Most.synergistic.area.score]]</f>
        <v>14.584</v>
      </c>
    </row>
    <row r="102" spans="1:18" x14ac:dyDescent="0.35">
      <c r="A102" t="s">
        <v>107</v>
      </c>
      <c r="B102">
        <v>0.93</v>
      </c>
      <c r="C102">
        <v>6.92</v>
      </c>
      <c r="D102" t="s">
        <v>7</v>
      </c>
      <c r="F102">
        <v>0.84599999999999997</v>
      </c>
      <c r="H102" t="str" cm="1">
        <f t="array" ref="H102:I102">_xlfn.TEXTSPLIT(Table3[[#This Row],[Drug.combination]], " - ")</f>
        <v>CET[PS]</v>
      </c>
      <c r="I102" t="str">
        <v>CER[PS]</v>
      </c>
      <c r="J102" t="str" cm="1">
        <f t="array" ref="J102:K102">_xlfn.TEXTSPLIT(H102, "[")</f>
        <v>CET</v>
      </c>
      <c r="K102" t="str">
        <v>PS]</v>
      </c>
      <c r="L102" t="str" cm="1">
        <f t="array" ref="L102:M102">_xlfn.TEXTSPLIT(I102, "[")</f>
        <v>CER</v>
      </c>
      <c r="M102" t="str">
        <v>PS]</v>
      </c>
      <c r="O102" t="str">
        <f t="shared" si="2"/>
        <v>PS</v>
      </c>
      <c r="P102" t="str">
        <f t="shared" si="3"/>
        <v>CER-CET</v>
      </c>
      <c r="Q102">
        <f>Table3[[#This Row],[Synergy.score]]</f>
        <v>0.93</v>
      </c>
      <c r="R102">
        <f>Table3[[#This Row],[Most.synergistic.area.score]]</f>
        <v>6.92</v>
      </c>
    </row>
    <row r="103" spans="1:18" x14ac:dyDescent="0.35">
      <c r="A103" t="s">
        <v>108</v>
      </c>
      <c r="B103">
        <v>-1.323</v>
      </c>
      <c r="C103">
        <v>0.504</v>
      </c>
      <c r="D103" t="s">
        <v>7</v>
      </c>
      <c r="F103">
        <v>-1.2949999999999999</v>
      </c>
      <c r="H103" t="str" cm="1">
        <f t="array" ref="H103:I103">_xlfn.TEXTSPLIT(Table3[[#This Row],[Drug.combination]], " - ")</f>
        <v>CET[PS_MDR]</v>
      </c>
      <c r="I103" t="str">
        <v>CER[PS_MDR]</v>
      </c>
      <c r="J103" t="str" cm="1">
        <f t="array" ref="J103:K103">_xlfn.TEXTSPLIT(H103, "[")</f>
        <v>CET</v>
      </c>
      <c r="K103" t="str">
        <v>PS_MDR]</v>
      </c>
      <c r="L103" t="str" cm="1">
        <f t="array" ref="L103:M103">_xlfn.TEXTSPLIT(I103, "[")</f>
        <v>CER</v>
      </c>
      <c r="M103" t="str">
        <v>PS_MDR]</v>
      </c>
      <c r="O103" t="str">
        <f t="shared" si="2"/>
        <v>PS_MDR</v>
      </c>
      <c r="P103" t="str">
        <f t="shared" si="3"/>
        <v>CER-CET</v>
      </c>
      <c r="Q103">
        <f>Table3[[#This Row],[Synergy.score]]</f>
        <v>-1.323</v>
      </c>
      <c r="R103">
        <f>Table3[[#This Row],[Most.synergistic.area.score]]</f>
        <v>0.504</v>
      </c>
    </row>
    <row r="104" spans="1:18" x14ac:dyDescent="0.35">
      <c r="A104" t="s">
        <v>109</v>
      </c>
      <c r="B104">
        <v>-16.597000000000001</v>
      </c>
      <c r="C104">
        <v>4.8010000000000002</v>
      </c>
      <c r="D104" t="s">
        <v>7</v>
      </c>
      <c r="F104">
        <v>-10.557</v>
      </c>
      <c r="H104" t="str" cm="1">
        <f t="array" ref="H104:I104">_xlfn.TEXTSPLIT(Table3[[#This Row],[Drug.combination]], " - ")</f>
        <v>EGCG[SA_ATCC]</v>
      </c>
      <c r="I104" t="str">
        <v>DXR[SA_ATCC]</v>
      </c>
      <c r="J104" t="str" cm="1">
        <f t="array" ref="J104:K104">_xlfn.TEXTSPLIT(H104, "[")</f>
        <v>EGCG</v>
      </c>
      <c r="K104" t="str">
        <v>SA_ATCC]</v>
      </c>
      <c r="L104" t="str" cm="1">
        <f t="array" ref="L104:M104">_xlfn.TEXTSPLIT(I104, "[")</f>
        <v>DXR</v>
      </c>
      <c r="M104" t="str">
        <v>SA_ATCC]</v>
      </c>
      <c r="O104" t="str">
        <f t="shared" si="2"/>
        <v>SA_ATCC</v>
      </c>
      <c r="P104" t="str">
        <f t="shared" si="3"/>
        <v>DXR-EGCG</v>
      </c>
      <c r="Q104">
        <f>Table3[[#This Row],[Synergy.score]]</f>
        <v>-16.597000000000001</v>
      </c>
      <c r="R104">
        <f>Table3[[#This Row],[Most.synergistic.area.score]]</f>
        <v>4.8010000000000002</v>
      </c>
    </row>
    <row r="105" spans="1:18" x14ac:dyDescent="0.35">
      <c r="A105" t="s">
        <v>110</v>
      </c>
      <c r="B105">
        <v>0.86499999999999999</v>
      </c>
      <c r="C105">
        <v>13.215</v>
      </c>
      <c r="D105" t="s">
        <v>7</v>
      </c>
      <c r="F105">
        <v>0.78700000000000003</v>
      </c>
      <c r="H105" t="str" cm="1">
        <f t="array" ref="H105:I105">_xlfn.TEXTSPLIT(Table3[[#This Row],[Drug.combination]], " - ")</f>
        <v>EGCG[PS_ATCC]</v>
      </c>
      <c r="I105" t="str">
        <v>DXR[PS_ATCC]</v>
      </c>
      <c r="J105" t="str" cm="1">
        <f t="array" ref="J105:K105">_xlfn.TEXTSPLIT(H105, "[")</f>
        <v>EGCG</v>
      </c>
      <c r="K105" t="str">
        <v>PS_ATCC]</v>
      </c>
      <c r="L105" t="str" cm="1">
        <f t="array" ref="L105:M105">_xlfn.TEXTSPLIT(I105, "[")</f>
        <v>DXR</v>
      </c>
      <c r="M105" t="str">
        <v>PS_ATCC]</v>
      </c>
      <c r="O105" t="str">
        <f t="shared" si="2"/>
        <v>PS_ATCC</v>
      </c>
      <c r="P105" t="str">
        <f t="shared" si="3"/>
        <v>DXR-EGCG</v>
      </c>
      <c r="Q105">
        <f>Table3[[#This Row],[Synergy.score]]</f>
        <v>0.86499999999999999</v>
      </c>
      <c r="R105">
        <f>Table3[[#This Row],[Most.synergistic.area.score]]</f>
        <v>13.215</v>
      </c>
    </row>
    <row r="106" spans="1:18" x14ac:dyDescent="0.35">
      <c r="A106" t="s">
        <v>111</v>
      </c>
      <c r="B106">
        <v>-1.7470000000000001</v>
      </c>
      <c r="C106">
        <v>20.795000000000002</v>
      </c>
      <c r="D106" t="s">
        <v>7</v>
      </c>
      <c r="F106">
        <v>0.04</v>
      </c>
      <c r="H106" t="str" cm="1">
        <f t="array" ref="H106:I106">_xlfn.TEXTSPLIT(Table3[[#This Row],[Drug.combination]], " - ")</f>
        <v>EGCG[SE]</v>
      </c>
      <c r="I106" t="str">
        <v>DXR[SE]</v>
      </c>
      <c r="J106" t="str" cm="1">
        <f t="array" ref="J106:K106">_xlfn.TEXTSPLIT(H106, "[")</f>
        <v>EGCG</v>
      </c>
      <c r="K106" t="str">
        <v>SE]</v>
      </c>
      <c r="L106" t="str" cm="1">
        <f t="array" ref="L106:M106">_xlfn.TEXTSPLIT(I106, "[")</f>
        <v>DXR</v>
      </c>
      <c r="M106" t="str">
        <v>SE]</v>
      </c>
      <c r="O106" t="str">
        <f t="shared" si="2"/>
        <v>SE</v>
      </c>
      <c r="P106" t="str">
        <f t="shared" si="3"/>
        <v>DXR-EGCG</v>
      </c>
      <c r="Q106">
        <f>Table3[[#This Row],[Synergy.score]]</f>
        <v>-1.7470000000000001</v>
      </c>
      <c r="R106">
        <f>Table3[[#This Row],[Most.synergistic.area.score]]</f>
        <v>20.795000000000002</v>
      </c>
    </row>
    <row r="107" spans="1:18" x14ac:dyDescent="0.35">
      <c r="A107" t="s">
        <v>112</v>
      </c>
      <c r="B107">
        <v>-10.848000000000001</v>
      </c>
      <c r="C107">
        <v>0.13600000000000001</v>
      </c>
      <c r="D107" t="s">
        <v>7</v>
      </c>
      <c r="F107">
        <v>-4.3099999999999996</v>
      </c>
      <c r="H107" t="str" cm="1">
        <f t="array" ref="H107:I107">_xlfn.TEXTSPLIT(Table3[[#This Row],[Drug.combination]], " - ")</f>
        <v>EGCG[SA]</v>
      </c>
      <c r="I107" t="str">
        <v>DXR[SA]</v>
      </c>
      <c r="J107" t="str" cm="1">
        <f t="array" ref="J107:K107">_xlfn.TEXTSPLIT(H107, "[")</f>
        <v>EGCG</v>
      </c>
      <c r="K107" t="str">
        <v>SA]</v>
      </c>
      <c r="L107" t="str" cm="1">
        <f t="array" ref="L107:M107">_xlfn.TEXTSPLIT(I107, "[")</f>
        <v>DXR</v>
      </c>
      <c r="M107" t="str">
        <v>SA]</v>
      </c>
      <c r="O107" t="str">
        <f t="shared" si="2"/>
        <v>SA</v>
      </c>
      <c r="P107" t="str">
        <f t="shared" si="3"/>
        <v>DXR-EGCG</v>
      </c>
      <c r="Q107">
        <f>Table3[[#This Row],[Synergy.score]]</f>
        <v>-10.848000000000001</v>
      </c>
      <c r="R107">
        <f>Table3[[#This Row],[Most.synergistic.area.score]]</f>
        <v>0.13600000000000001</v>
      </c>
    </row>
    <row r="108" spans="1:18" x14ac:dyDescent="0.35">
      <c r="A108" t="s">
        <v>113</v>
      </c>
      <c r="B108">
        <v>-6.4589999999999996</v>
      </c>
      <c r="C108">
        <v>0.57199999999999995</v>
      </c>
      <c r="D108" t="s">
        <v>7</v>
      </c>
      <c r="F108">
        <v>-5.4039999999999999</v>
      </c>
      <c r="H108" t="str" cm="1">
        <f t="array" ref="H108:I108">_xlfn.TEXTSPLIT(Table3[[#This Row],[Drug.combination]], " - ")</f>
        <v>EGCG[PS]</v>
      </c>
      <c r="I108" t="str">
        <v>DXR[PS]</v>
      </c>
      <c r="J108" t="str" cm="1">
        <f t="array" ref="J108:K108">_xlfn.TEXTSPLIT(H108, "[")</f>
        <v>EGCG</v>
      </c>
      <c r="K108" t="str">
        <v>PS]</v>
      </c>
      <c r="L108" t="str" cm="1">
        <f t="array" ref="L108:M108">_xlfn.TEXTSPLIT(I108, "[")</f>
        <v>DXR</v>
      </c>
      <c r="M108" t="str">
        <v>PS]</v>
      </c>
      <c r="O108" t="str">
        <f t="shared" si="2"/>
        <v>PS</v>
      </c>
      <c r="P108" t="str">
        <f t="shared" si="3"/>
        <v>DXR-EGCG</v>
      </c>
      <c r="Q108">
        <f>Table3[[#This Row],[Synergy.score]]</f>
        <v>-6.4589999999999996</v>
      </c>
      <c r="R108">
        <f>Table3[[#This Row],[Most.synergistic.area.score]]</f>
        <v>0.57199999999999995</v>
      </c>
    </row>
    <row r="109" spans="1:18" x14ac:dyDescent="0.35">
      <c r="A109" t="s">
        <v>114</v>
      </c>
      <c r="B109">
        <v>-0.32600000000000001</v>
      </c>
      <c r="C109">
        <v>10.715</v>
      </c>
      <c r="D109" t="s">
        <v>7</v>
      </c>
      <c r="F109">
        <v>-0.37</v>
      </c>
      <c r="H109" t="str" cm="1">
        <f t="array" ref="H109:I109">_xlfn.TEXTSPLIT(Table3[[#This Row],[Drug.combination]], " - ")</f>
        <v>EGCG[PS_MDR]</v>
      </c>
      <c r="I109" t="str">
        <v>DXR[PS_MDR]</v>
      </c>
      <c r="J109" t="str" cm="1">
        <f t="array" ref="J109:K109">_xlfn.TEXTSPLIT(H109, "[")</f>
        <v>EGCG</v>
      </c>
      <c r="K109" t="str">
        <v>PS_MDR]</v>
      </c>
      <c r="L109" t="str" cm="1">
        <f t="array" ref="L109:M109">_xlfn.TEXTSPLIT(I109, "[")</f>
        <v>DXR</v>
      </c>
      <c r="M109" t="str">
        <v>PS_MDR]</v>
      </c>
      <c r="O109" t="str">
        <f t="shared" si="2"/>
        <v>PS_MDR</v>
      </c>
      <c r="P109" t="str">
        <f t="shared" si="3"/>
        <v>DXR-EGCG</v>
      </c>
      <c r="Q109">
        <f>Table3[[#This Row],[Synergy.score]]</f>
        <v>-0.32600000000000001</v>
      </c>
      <c r="R109">
        <f>Table3[[#This Row],[Most.synergistic.area.score]]</f>
        <v>10.715</v>
      </c>
    </row>
    <row r="110" spans="1:18" x14ac:dyDescent="0.35">
      <c r="A110" t="s">
        <v>115</v>
      </c>
      <c r="B110">
        <v>0.61799999999999999</v>
      </c>
      <c r="C110">
        <v>3.9409999999999998</v>
      </c>
      <c r="D110" t="s">
        <v>7</v>
      </c>
      <c r="F110">
        <v>0.22900000000000001</v>
      </c>
      <c r="H110" t="str" cm="1">
        <f t="array" ref="H110:I110">_xlfn.TEXTSPLIT(Table3[[#This Row],[Drug.combination]], " - ")</f>
        <v>OFL[SE]</v>
      </c>
      <c r="I110" t="str">
        <v>DXR[SE]</v>
      </c>
      <c r="J110" t="str" cm="1">
        <f t="array" ref="J110:K110">_xlfn.TEXTSPLIT(H110, "[")</f>
        <v>OFL</v>
      </c>
      <c r="K110" t="str">
        <v>SE]</v>
      </c>
      <c r="L110" t="str" cm="1">
        <f t="array" ref="L110:M110">_xlfn.TEXTSPLIT(I110, "[")</f>
        <v>DXR</v>
      </c>
      <c r="M110" t="str">
        <v>SE]</v>
      </c>
      <c r="O110" t="str">
        <f t="shared" si="2"/>
        <v>SE</v>
      </c>
      <c r="P110" t="str">
        <f t="shared" si="3"/>
        <v>DXR-OFL</v>
      </c>
      <c r="Q110">
        <f>Table3[[#This Row],[Synergy.score]]</f>
        <v>0.61799999999999999</v>
      </c>
      <c r="R110">
        <f>Table3[[#This Row],[Most.synergistic.area.score]]</f>
        <v>3.9409999999999998</v>
      </c>
    </row>
    <row r="111" spans="1:18" x14ac:dyDescent="0.35">
      <c r="A111" t="s">
        <v>116</v>
      </c>
      <c r="B111">
        <v>-0.93100000000000005</v>
      </c>
      <c r="C111">
        <v>4.7160000000000002</v>
      </c>
      <c r="D111" t="s">
        <v>7</v>
      </c>
      <c r="F111">
        <v>-7.0999999999999994E-2</v>
      </c>
      <c r="H111" t="str" cm="1">
        <f t="array" ref="H111:I111">_xlfn.TEXTSPLIT(Table3[[#This Row],[Drug.combination]], " - ")</f>
        <v>OFL[SA]</v>
      </c>
      <c r="I111" t="str">
        <v>DXR[SA]</v>
      </c>
      <c r="J111" t="str" cm="1">
        <f t="array" ref="J111:K111">_xlfn.TEXTSPLIT(H111, "[")</f>
        <v>OFL</v>
      </c>
      <c r="K111" t="str">
        <v>SA]</v>
      </c>
      <c r="L111" t="str" cm="1">
        <f t="array" ref="L111:M111">_xlfn.TEXTSPLIT(I111, "[")</f>
        <v>DXR</v>
      </c>
      <c r="M111" t="str">
        <v>SA]</v>
      </c>
      <c r="O111" t="str">
        <f t="shared" si="2"/>
        <v>SA</v>
      </c>
      <c r="P111" t="str">
        <f t="shared" si="3"/>
        <v>DXR-OFL</v>
      </c>
      <c r="Q111">
        <f>Table3[[#This Row],[Synergy.score]]</f>
        <v>-0.93100000000000005</v>
      </c>
      <c r="R111">
        <f>Table3[[#This Row],[Most.synergistic.area.score]]</f>
        <v>4.7160000000000002</v>
      </c>
    </row>
    <row r="112" spans="1:18" x14ac:dyDescent="0.35">
      <c r="A112" t="s">
        <v>117</v>
      </c>
      <c r="B112">
        <v>-3.214</v>
      </c>
      <c r="C112">
        <v>0.57799999999999996</v>
      </c>
      <c r="D112" t="s">
        <v>7</v>
      </c>
      <c r="F112">
        <v>-1.2729999999999999</v>
      </c>
      <c r="H112" t="str" cm="1">
        <f t="array" ref="H112:I112">_xlfn.TEXTSPLIT(Table3[[#This Row],[Drug.combination]], " - ")</f>
        <v>OFL[PS]</v>
      </c>
      <c r="I112" t="str">
        <v>DXR[PS]</v>
      </c>
      <c r="J112" t="str" cm="1">
        <f t="array" ref="J112:K112">_xlfn.TEXTSPLIT(H112, "[")</f>
        <v>OFL</v>
      </c>
      <c r="K112" t="str">
        <v>PS]</v>
      </c>
      <c r="L112" t="str" cm="1">
        <f t="array" ref="L112:M112">_xlfn.TEXTSPLIT(I112, "[")</f>
        <v>DXR</v>
      </c>
      <c r="M112" t="str">
        <v>PS]</v>
      </c>
      <c r="O112" t="str">
        <f t="shared" si="2"/>
        <v>PS</v>
      </c>
      <c r="P112" t="str">
        <f t="shared" si="3"/>
        <v>DXR-OFL</v>
      </c>
      <c r="Q112">
        <f>Table3[[#This Row],[Synergy.score]]</f>
        <v>-3.214</v>
      </c>
      <c r="R112">
        <f>Table3[[#This Row],[Most.synergistic.area.score]]</f>
        <v>0.57799999999999996</v>
      </c>
    </row>
    <row r="113" spans="1:18" x14ac:dyDescent="0.35">
      <c r="A113" t="s">
        <v>118</v>
      </c>
      <c r="B113">
        <v>-1.7569999999999999</v>
      </c>
      <c r="C113">
        <v>1.77</v>
      </c>
      <c r="D113" t="s">
        <v>7</v>
      </c>
      <c r="F113">
        <v>-1.589</v>
      </c>
      <c r="H113" t="str" cm="1">
        <f t="array" ref="H113:I113">_xlfn.TEXTSPLIT(Table3[[#This Row],[Drug.combination]], " - ")</f>
        <v>OFL[PS_MDR]</v>
      </c>
      <c r="I113" t="str">
        <v>DXR[PS_MDR]</v>
      </c>
      <c r="J113" t="str" cm="1">
        <f t="array" ref="J113:K113">_xlfn.TEXTSPLIT(H113, "[")</f>
        <v>OFL</v>
      </c>
      <c r="K113" t="str">
        <v>PS_MDR]</v>
      </c>
      <c r="L113" t="str" cm="1">
        <f t="array" ref="L113:M113">_xlfn.TEXTSPLIT(I113, "[")</f>
        <v>DXR</v>
      </c>
      <c r="M113" t="str">
        <v>PS_MDR]</v>
      </c>
      <c r="O113" t="str">
        <f t="shared" si="2"/>
        <v>PS_MDR</v>
      </c>
      <c r="P113" t="str">
        <f t="shared" si="3"/>
        <v>DXR-OFL</v>
      </c>
      <c r="Q113">
        <f>Table3[[#This Row],[Synergy.score]]</f>
        <v>-1.7569999999999999</v>
      </c>
      <c r="R113">
        <f>Table3[[#This Row],[Most.synergistic.area.score]]</f>
        <v>1.77</v>
      </c>
    </row>
    <row r="114" spans="1:18" x14ac:dyDescent="0.35">
      <c r="A114" t="s">
        <v>119</v>
      </c>
      <c r="B114">
        <v>3.4740000000000002</v>
      </c>
      <c r="C114">
        <v>18.09</v>
      </c>
      <c r="D114" t="s">
        <v>7</v>
      </c>
      <c r="F114">
        <v>1.3520000000000001</v>
      </c>
      <c r="H114" t="str" cm="1">
        <f t="array" ref="H114:I114">_xlfn.TEXTSPLIT(Table3[[#This Row],[Drug.combination]], " - ")</f>
        <v>TMP[SE]</v>
      </c>
      <c r="I114" t="str">
        <v>DXR[SE]</v>
      </c>
      <c r="J114" t="str" cm="1">
        <f t="array" ref="J114:K114">_xlfn.TEXTSPLIT(H114, "[")</f>
        <v>TMP</v>
      </c>
      <c r="K114" t="str">
        <v>SE]</v>
      </c>
      <c r="L114" t="str" cm="1">
        <f t="array" ref="L114:M114">_xlfn.TEXTSPLIT(I114, "[")</f>
        <v>DXR</v>
      </c>
      <c r="M114" t="str">
        <v>SE]</v>
      </c>
      <c r="O114" t="str">
        <f t="shared" si="2"/>
        <v>SE</v>
      </c>
      <c r="P114" t="str">
        <f t="shared" si="3"/>
        <v>DXR-TMP</v>
      </c>
      <c r="Q114">
        <f>Table3[[#This Row],[Synergy.score]]</f>
        <v>3.4740000000000002</v>
      </c>
      <c r="R114">
        <f>Table3[[#This Row],[Most.synergistic.area.score]]</f>
        <v>18.09</v>
      </c>
    </row>
    <row r="115" spans="1:18" x14ac:dyDescent="0.35">
      <c r="A115" t="s">
        <v>120</v>
      </c>
      <c r="B115">
        <v>-1.833</v>
      </c>
      <c r="C115">
        <v>12.85</v>
      </c>
      <c r="D115" t="s">
        <v>7</v>
      </c>
      <c r="F115">
        <v>-1.198</v>
      </c>
      <c r="H115" t="str" cm="1">
        <f t="array" ref="H115:I115">_xlfn.TEXTSPLIT(Table3[[#This Row],[Drug.combination]], " - ")</f>
        <v>TMP[SA]</v>
      </c>
      <c r="I115" t="str">
        <v>DXR[SA]</v>
      </c>
      <c r="J115" t="str" cm="1">
        <f t="array" ref="J115:K115">_xlfn.TEXTSPLIT(H115, "[")</f>
        <v>TMP</v>
      </c>
      <c r="K115" t="str">
        <v>SA]</v>
      </c>
      <c r="L115" t="str" cm="1">
        <f t="array" ref="L115:M115">_xlfn.TEXTSPLIT(I115, "[")</f>
        <v>DXR</v>
      </c>
      <c r="M115" t="str">
        <v>SA]</v>
      </c>
      <c r="O115" t="str">
        <f t="shared" si="2"/>
        <v>SA</v>
      </c>
      <c r="P115" t="str">
        <f t="shared" si="3"/>
        <v>DXR-TMP</v>
      </c>
      <c r="Q115">
        <f>Table3[[#This Row],[Synergy.score]]</f>
        <v>-1.833</v>
      </c>
      <c r="R115">
        <f>Table3[[#This Row],[Most.synergistic.area.score]]</f>
        <v>12.85</v>
      </c>
    </row>
    <row r="116" spans="1:18" x14ac:dyDescent="0.35">
      <c r="A116" t="s">
        <v>121</v>
      </c>
      <c r="B116">
        <v>-1.407</v>
      </c>
      <c r="C116">
        <v>6.4249999999999998</v>
      </c>
      <c r="D116" t="s">
        <v>7</v>
      </c>
      <c r="F116">
        <v>-1.2509999999999999</v>
      </c>
      <c r="H116" t="str" cm="1">
        <f t="array" ref="H116:I116">_xlfn.TEXTSPLIT(Table3[[#This Row],[Drug.combination]], " - ")</f>
        <v>TMP[PS]</v>
      </c>
      <c r="I116" t="str">
        <v>DXR[PS]</v>
      </c>
      <c r="J116" t="str" cm="1">
        <f t="array" ref="J116:K116">_xlfn.TEXTSPLIT(H116, "[")</f>
        <v>TMP</v>
      </c>
      <c r="K116" t="str">
        <v>PS]</v>
      </c>
      <c r="L116" t="str" cm="1">
        <f t="array" ref="L116:M116">_xlfn.TEXTSPLIT(I116, "[")</f>
        <v>DXR</v>
      </c>
      <c r="M116" t="str">
        <v>PS]</v>
      </c>
      <c r="O116" t="str">
        <f t="shared" si="2"/>
        <v>PS</v>
      </c>
      <c r="P116" t="str">
        <f t="shared" si="3"/>
        <v>DXR-TMP</v>
      </c>
      <c r="Q116">
        <f>Table3[[#This Row],[Synergy.score]]</f>
        <v>-1.407</v>
      </c>
      <c r="R116">
        <f>Table3[[#This Row],[Most.synergistic.area.score]]</f>
        <v>6.4249999999999998</v>
      </c>
    </row>
    <row r="117" spans="1:18" x14ac:dyDescent="0.35">
      <c r="A117" t="s">
        <v>122</v>
      </c>
      <c r="B117">
        <v>-1.518</v>
      </c>
      <c r="C117">
        <v>0.53900000000000003</v>
      </c>
      <c r="D117" t="s">
        <v>7</v>
      </c>
      <c r="F117">
        <v>-1.4279999999999999</v>
      </c>
      <c r="H117" t="str" cm="1">
        <f t="array" ref="H117:I117">_xlfn.TEXTSPLIT(Table3[[#This Row],[Drug.combination]], " - ")</f>
        <v>TMP[PS_MDR]</v>
      </c>
      <c r="I117" t="str">
        <v>DXR[PS_MDR]</v>
      </c>
      <c r="J117" t="str" cm="1">
        <f t="array" ref="J117:K117">_xlfn.TEXTSPLIT(H117, "[")</f>
        <v>TMP</v>
      </c>
      <c r="K117" t="str">
        <v>PS_MDR]</v>
      </c>
      <c r="L117" t="str" cm="1">
        <f t="array" ref="L117:M117">_xlfn.TEXTSPLIT(I117, "[")</f>
        <v>DXR</v>
      </c>
      <c r="M117" t="str">
        <v>PS_MDR]</v>
      </c>
      <c r="O117" t="str">
        <f t="shared" si="2"/>
        <v>PS_MDR</v>
      </c>
      <c r="P117" t="str">
        <f t="shared" si="3"/>
        <v>DXR-TMP</v>
      </c>
      <c r="Q117">
        <f>Table3[[#This Row],[Synergy.score]]</f>
        <v>-1.518</v>
      </c>
      <c r="R117">
        <f>Table3[[#This Row],[Most.synergistic.area.score]]</f>
        <v>0.53900000000000003</v>
      </c>
    </row>
    <row r="118" spans="1:18" x14ac:dyDescent="0.35">
      <c r="A118" t="s">
        <v>123</v>
      </c>
      <c r="B118">
        <v>0.435</v>
      </c>
      <c r="C118">
        <v>16.489000000000001</v>
      </c>
      <c r="D118" t="s">
        <v>7</v>
      </c>
      <c r="F118">
        <v>0.63900000000000001</v>
      </c>
      <c r="H118" t="str" cm="1">
        <f t="array" ref="H118:I118">_xlfn.TEXTSPLIT(Table3[[#This Row],[Drug.combination]], " - ")</f>
        <v>PMB[SE]</v>
      </c>
      <c r="I118" t="str">
        <v>ERY[SE]</v>
      </c>
      <c r="J118" t="str" cm="1">
        <f t="array" ref="J118:K118">_xlfn.TEXTSPLIT(H118, "[")</f>
        <v>PMB</v>
      </c>
      <c r="K118" t="str">
        <v>SE]</v>
      </c>
      <c r="L118" t="str" cm="1">
        <f t="array" ref="L118:M118">_xlfn.TEXTSPLIT(I118, "[")</f>
        <v>ERY</v>
      </c>
      <c r="M118" t="str">
        <v>SE]</v>
      </c>
      <c r="O118" t="str">
        <f t="shared" si="2"/>
        <v>SE</v>
      </c>
      <c r="P118" t="str">
        <f t="shared" si="3"/>
        <v>ERY-PMB</v>
      </c>
      <c r="Q118">
        <f>Table3[[#This Row],[Synergy.score]]</f>
        <v>0.435</v>
      </c>
      <c r="R118">
        <f>Table3[[#This Row],[Most.synergistic.area.score]]</f>
        <v>16.489000000000001</v>
      </c>
    </row>
    <row r="119" spans="1:18" x14ac:dyDescent="0.35">
      <c r="A119" t="s">
        <v>124</v>
      </c>
      <c r="B119">
        <v>-1.3480000000000001</v>
      </c>
      <c r="C119">
        <v>-5.6000000000000001E-2</v>
      </c>
      <c r="D119" t="s">
        <v>7</v>
      </c>
      <c r="F119">
        <v>-0.25900000000000001</v>
      </c>
      <c r="H119" t="str" cm="1">
        <f t="array" ref="H119:I119">_xlfn.TEXTSPLIT(Table3[[#This Row],[Drug.combination]], " - ")</f>
        <v>PMB[SA]</v>
      </c>
      <c r="I119" t="str">
        <v>ERY[SA]</v>
      </c>
      <c r="J119" t="str" cm="1">
        <f t="array" ref="J119:K119">_xlfn.TEXTSPLIT(H119, "[")</f>
        <v>PMB</v>
      </c>
      <c r="K119" t="str">
        <v>SA]</v>
      </c>
      <c r="L119" t="str" cm="1">
        <f t="array" ref="L119:M119">_xlfn.TEXTSPLIT(I119, "[")</f>
        <v>ERY</v>
      </c>
      <c r="M119" t="str">
        <v>SA]</v>
      </c>
      <c r="O119" t="str">
        <f t="shared" si="2"/>
        <v>SA</v>
      </c>
      <c r="P119" t="str">
        <f t="shared" si="3"/>
        <v>ERY-PMB</v>
      </c>
      <c r="Q119">
        <f>Table3[[#This Row],[Synergy.score]]</f>
        <v>-1.3480000000000001</v>
      </c>
      <c r="R119">
        <f>Table3[[#This Row],[Most.synergistic.area.score]]</f>
        <v>-5.6000000000000001E-2</v>
      </c>
    </row>
    <row r="120" spans="1:18" x14ac:dyDescent="0.35">
      <c r="A120" t="s">
        <v>125</v>
      </c>
      <c r="B120">
        <v>-17.228000000000002</v>
      </c>
      <c r="C120">
        <v>-0.31</v>
      </c>
      <c r="D120" t="s">
        <v>7</v>
      </c>
      <c r="F120">
        <v>-11.285</v>
      </c>
      <c r="H120" t="str" cm="1">
        <f t="array" ref="H120:I120">_xlfn.TEXTSPLIT(Table3[[#This Row],[Drug.combination]], " - ")</f>
        <v>PMB[PS]</v>
      </c>
      <c r="I120" t="str">
        <v>ERY[PS]</v>
      </c>
      <c r="J120" t="str" cm="1">
        <f t="array" ref="J120:K120">_xlfn.TEXTSPLIT(H120, "[")</f>
        <v>PMB</v>
      </c>
      <c r="K120" t="str">
        <v>PS]</v>
      </c>
      <c r="L120" t="str" cm="1">
        <f t="array" ref="L120:M120">_xlfn.TEXTSPLIT(I120, "[")</f>
        <v>ERY</v>
      </c>
      <c r="M120" t="str">
        <v>PS]</v>
      </c>
      <c r="O120" t="str">
        <f t="shared" si="2"/>
        <v>PS</v>
      </c>
      <c r="P120" t="str">
        <f t="shared" si="3"/>
        <v>ERY-PMB</v>
      </c>
      <c r="Q120">
        <f>Table3[[#This Row],[Synergy.score]]</f>
        <v>-17.228000000000002</v>
      </c>
      <c r="R120">
        <f>Table3[[#This Row],[Most.synergistic.area.score]]</f>
        <v>-0.31</v>
      </c>
    </row>
    <row r="121" spans="1:18" x14ac:dyDescent="0.35">
      <c r="A121" t="s">
        <v>126</v>
      </c>
      <c r="B121">
        <v>-0.76600000000000001</v>
      </c>
      <c r="C121">
        <v>6.3150000000000004</v>
      </c>
      <c r="D121" t="s">
        <v>7</v>
      </c>
      <c r="F121">
        <v>-0.44500000000000001</v>
      </c>
      <c r="H121" t="str" cm="1">
        <f t="array" ref="H121:I121">_xlfn.TEXTSPLIT(Table3[[#This Row],[Drug.combination]], " - ")</f>
        <v>PMB[PS_MDR]</v>
      </c>
      <c r="I121" t="str">
        <v>ERY[PS_MDR]</v>
      </c>
      <c r="J121" t="str" cm="1">
        <f t="array" ref="J121:K121">_xlfn.TEXTSPLIT(H121, "[")</f>
        <v>PMB</v>
      </c>
      <c r="K121" t="str">
        <v>PS_MDR]</v>
      </c>
      <c r="L121" t="str" cm="1">
        <f t="array" ref="L121:M121">_xlfn.TEXTSPLIT(I121, "[")</f>
        <v>ERY</v>
      </c>
      <c r="M121" t="str">
        <v>PS_MDR]</v>
      </c>
      <c r="O121" t="str">
        <f t="shared" si="2"/>
        <v>PS_MDR</v>
      </c>
      <c r="P121" t="str">
        <f t="shared" si="3"/>
        <v>ERY-PMB</v>
      </c>
      <c r="Q121">
        <f>Table3[[#This Row],[Synergy.score]]</f>
        <v>-0.76600000000000001</v>
      </c>
      <c r="R121">
        <f>Table3[[#This Row],[Most.synergistic.area.score]]</f>
        <v>6.3150000000000004</v>
      </c>
    </row>
    <row r="122" spans="1:18" x14ac:dyDescent="0.35">
      <c r="A122" t="s">
        <v>127</v>
      </c>
      <c r="B122">
        <v>5.5750000000000002</v>
      </c>
      <c r="C122">
        <v>20.887</v>
      </c>
      <c r="D122" t="s">
        <v>7</v>
      </c>
      <c r="F122">
        <v>0.309</v>
      </c>
      <c r="H122" t="str" cm="1">
        <f t="array" ref="H122:I122">_xlfn.TEXTSPLIT(Table3[[#This Row],[Drug.combination]], " - ")</f>
        <v>OFL[SE]</v>
      </c>
      <c r="I122" t="str">
        <v>FOS[SE]</v>
      </c>
      <c r="J122" t="str" cm="1">
        <f t="array" ref="J122:K122">_xlfn.TEXTSPLIT(H122, "[")</f>
        <v>OFL</v>
      </c>
      <c r="K122" t="str">
        <v>SE]</v>
      </c>
      <c r="L122" t="str" cm="1">
        <f t="array" ref="L122:M122">_xlfn.TEXTSPLIT(I122, "[")</f>
        <v>FOS</v>
      </c>
      <c r="M122" t="str">
        <v>SE]</v>
      </c>
      <c r="O122" t="str">
        <f t="shared" si="2"/>
        <v>SE</v>
      </c>
      <c r="P122" t="str">
        <f t="shared" si="3"/>
        <v>FOS-OFL</v>
      </c>
      <c r="Q122">
        <f>Table3[[#This Row],[Synergy.score]]</f>
        <v>5.5750000000000002</v>
      </c>
      <c r="R122">
        <f>Table3[[#This Row],[Most.synergistic.area.score]]</f>
        <v>20.887</v>
      </c>
    </row>
    <row r="123" spans="1:18" x14ac:dyDescent="0.35">
      <c r="A123" t="s">
        <v>128</v>
      </c>
      <c r="B123">
        <v>4.0730000000000004</v>
      </c>
      <c r="C123">
        <v>23.521000000000001</v>
      </c>
      <c r="D123" t="s">
        <v>7</v>
      </c>
      <c r="F123">
        <v>1.3919999999999999</v>
      </c>
      <c r="H123" t="str" cm="1">
        <f t="array" ref="H123:I123">_xlfn.TEXTSPLIT(Table3[[#This Row],[Drug.combination]], " - ")</f>
        <v>OFL[SA]</v>
      </c>
      <c r="I123" t="str">
        <v>FOS[SA]</v>
      </c>
      <c r="J123" t="str" cm="1">
        <f t="array" ref="J123:K123">_xlfn.TEXTSPLIT(H123, "[")</f>
        <v>OFL</v>
      </c>
      <c r="K123" t="str">
        <v>SA]</v>
      </c>
      <c r="L123" t="str" cm="1">
        <f t="array" ref="L123:M123">_xlfn.TEXTSPLIT(I123, "[")</f>
        <v>FOS</v>
      </c>
      <c r="M123" t="str">
        <v>SA]</v>
      </c>
      <c r="O123" t="str">
        <f t="shared" si="2"/>
        <v>SA</v>
      </c>
      <c r="P123" t="str">
        <f t="shared" si="3"/>
        <v>FOS-OFL</v>
      </c>
      <c r="Q123">
        <f>Table3[[#This Row],[Synergy.score]]</f>
        <v>4.0730000000000004</v>
      </c>
      <c r="R123">
        <f>Table3[[#This Row],[Most.synergistic.area.score]]</f>
        <v>23.521000000000001</v>
      </c>
    </row>
    <row r="124" spans="1:18" x14ac:dyDescent="0.35">
      <c r="A124" t="s">
        <v>129</v>
      </c>
      <c r="B124">
        <v>2.2879999999999998</v>
      </c>
      <c r="C124">
        <v>23.789000000000001</v>
      </c>
      <c r="D124" t="s">
        <v>7</v>
      </c>
      <c r="F124">
        <v>0.55800000000000005</v>
      </c>
      <c r="H124" t="str" cm="1">
        <f t="array" ref="H124:I124">_xlfn.TEXTSPLIT(Table3[[#This Row],[Drug.combination]], " - ")</f>
        <v>OFL[PS]</v>
      </c>
      <c r="I124" t="str">
        <v>FOS[PS]</v>
      </c>
      <c r="J124" t="str" cm="1">
        <f t="array" ref="J124:K124">_xlfn.TEXTSPLIT(H124, "[")</f>
        <v>OFL</v>
      </c>
      <c r="K124" t="str">
        <v>PS]</v>
      </c>
      <c r="L124" t="str" cm="1">
        <f t="array" ref="L124:M124">_xlfn.TEXTSPLIT(I124, "[")</f>
        <v>FOS</v>
      </c>
      <c r="M124" t="str">
        <v>PS]</v>
      </c>
      <c r="O124" t="str">
        <f t="shared" si="2"/>
        <v>PS</v>
      </c>
      <c r="P124" t="str">
        <f t="shared" si="3"/>
        <v>FOS-OFL</v>
      </c>
      <c r="Q124">
        <f>Table3[[#This Row],[Synergy.score]]</f>
        <v>2.2879999999999998</v>
      </c>
      <c r="R124">
        <f>Table3[[#This Row],[Most.synergistic.area.score]]</f>
        <v>23.789000000000001</v>
      </c>
    </row>
    <row r="125" spans="1:18" x14ac:dyDescent="0.35">
      <c r="A125" t="s">
        <v>130</v>
      </c>
      <c r="B125">
        <v>-4.07</v>
      </c>
      <c r="C125">
        <v>1.468</v>
      </c>
      <c r="D125" t="s">
        <v>7</v>
      </c>
      <c r="F125">
        <v>-4.0490000000000004</v>
      </c>
      <c r="H125" t="str" cm="1">
        <f t="array" ref="H125:I125">_xlfn.TEXTSPLIT(Table3[[#This Row],[Drug.combination]], " - ")</f>
        <v>OFL[PS_MDR]</v>
      </c>
      <c r="I125" t="str">
        <v>FOS[PS_MDR]</v>
      </c>
      <c r="J125" t="str" cm="1">
        <f t="array" ref="J125:K125">_xlfn.TEXTSPLIT(H125, "[")</f>
        <v>OFL</v>
      </c>
      <c r="K125" t="str">
        <v>PS_MDR]</v>
      </c>
      <c r="L125" t="str" cm="1">
        <f t="array" ref="L125:M125">_xlfn.TEXTSPLIT(I125, "[")</f>
        <v>FOS</v>
      </c>
      <c r="M125" t="str">
        <v>PS_MDR]</v>
      </c>
      <c r="O125" t="str">
        <f t="shared" si="2"/>
        <v>PS_MDR</v>
      </c>
      <c r="P125" t="str">
        <f t="shared" si="3"/>
        <v>FOS-OFL</v>
      </c>
      <c r="Q125">
        <f>Table3[[#This Row],[Synergy.score]]</f>
        <v>-4.07</v>
      </c>
      <c r="R125">
        <f>Table3[[#This Row],[Most.synergistic.area.score]]</f>
        <v>1.468</v>
      </c>
    </row>
    <row r="126" spans="1:18" x14ac:dyDescent="0.35">
      <c r="A126" t="s">
        <v>131</v>
      </c>
      <c r="B126">
        <v>-8.1039999999999992</v>
      </c>
      <c r="C126">
        <v>2.13</v>
      </c>
      <c r="D126" t="s">
        <v>7</v>
      </c>
      <c r="F126">
        <v>-2.3250000000000002</v>
      </c>
      <c r="H126" t="str" cm="1">
        <f t="array" ref="H126:I126">_xlfn.TEXTSPLIT(Table3[[#This Row],[Drug.combination]], " - ")</f>
        <v>PQ[SA_ATCC]</v>
      </c>
      <c r="I126" t="str">
        <v>DXR[SA_ATCC]</v>
      </c>
      <c r="J126" t="str" cm="1">
        <f t="array" ref="J126:K126">_xlfn.TEXTSPLIT(H126, "[")</f>
        <v>PQ</v>
      </c>
      <c r="K126" t="str">
        <v>SA_ATCC]</v>
      </c>
      <c r="L126" t="str" cm="1">
        <f t="array" ref="L126:M126">_xlfn.TEXTSPLIT(I126, "[")</f>
        <v>DXR</v>
      </c>
      <c r="M126" t="str">
        <v>SA_ATCC]</v>
      </c>
      <c r="O126" t="str">
        <f t="shared" si="2"/>
        <v>SA_ATCC</v>
      </c>
      <c r="P126" t="str">
        <f t="shared" si="3"/>
        <v>DXR-PQ</v>
      </c>
      <c r="Q126">
        <f>Table3[[#This Row],[Synergy.score]]</f>
        <v>-8.1039999999999992</v>
      </c>
      <c r="R126">
        <f>Table3[[#This Row],[Most.synergistic.area.score]]</f>
        <v>2.13</v>
      </c>
    </row>
    <row r="127" spans="1:18" x14ac:dyDescent="0.35">
      <c r="A127" t="s">
        <v>132</v>
      </c>
      <c r="B127">
        <v>-4.3559999999999999</v>
      </c>
      <c r="C127">
        <v>3.1019999999999999</v>
      </c>
      <c r="D127" t="s">
        <v>7</v>
      </c>
      <c r="F127">
        <v>-4.1689999999999996</v>
      </c>
      <c r="H127" t="str" cm="1">
        <f t="array" ref="H127:I127">_xlfn.TEXTSPLIT(Table3[[#This Row],[Drug.combination]], " - ")</f>
        <v>PQ[PS_ATCC]</v>
      </c>
      <c r="I127" t="str">
        <v>DXR[PS_ATCC]</v>
      </c>
      <c r="J127" t="str" cm="1">
        <f t="array" ref="J127:K127">_xlfn.TEXTSPLIT(H127, "[")</f>
        <v>PQ</v>
      </c>
      <c r="K127" t="str">
        <v>PS_ATCC]</v>
      </c>
      <c r="L127" t="str" cm="1">
        <f t="array" ref="L127:M127">_xlfn.TEXTSPLIT(I127, "[")</f>
        <v>DXR</v>
      </c>
      <c r="M127" t="str">
        <v>PS_ATCC]</v>
      </c>
      <c r="O127" t="str">
        <f t="shared" si="2"/>
        <v>PS_ATCC</v>
      </c>
      <c r="P127" t="str">
        <f t="shared" si="3"/>
        <v>DXR-PQ</v>
      </c>
      <c r="Q127">
        <f>Table3[[#This Row],[Synergy.score]]</f>
        <v>-4.3559999999999999</v>
      </c>
      <c r="R127">
        <f>Table3[[#This Row],[Most.synergistic.area.score]]</f>
        <v>3.1019999999999999</v>
      </c>
    </row>
    <row r="128" spans="1:18" x14ac:dyDescent="0.35">
      <c r="A128" t="s">
        <v>133</v>
      </c>
      <c r="B128">
        <v>-8.7680000000000007</v>
      </c>
      <c r="C128">
        <v>0.27900000000000003</v>
      </c>
      <c r="D128" t="s">
        <v>7</v>
      </c>
      <c r="F128">
        <v>-3.7050000000000001</v>
      </c>
      <c r="H128" t="str" cm="1">
        <f t="array" ref="H128:I128">_xlfn.TEXTSPLIT(Table3[[#This Row],[Drug.combination]], " - ")</f>
        <v>PQ[SE]</v>
      </c>
      <c r="I128" t="str">
        <v>DXR[SE]</v>
      </c>
      <c r="J128" t="str" cm="1">
        <f t="array" ref="J128:K128">_xlfn.TEXTSPLIT(H128, "[")</f>
        <v>PQ</v>
      </c>
      <c r="K128" t="str">
        <v>SE]</v>
      </c>
      <c r="L128" t="str" cm="1">
        <f t="array" ref="L128:M128">_xlfn.TEXTSPLIT(I128, "[")</f>
        <v>DXR</v>
      </c>
      <c r="M128" t="str">
        <v>SE]</v>
      </c>
      <c r="O128" t="str">
        <f t="shared" si="2"/>
        <v>SE</v>
      </c>
      <c r="P128" t="str">
        <f t="shared" si="3"/>
        <v>DXR-PQ</v>
      </c>
      <c r="Q128">
        <f>Table3[[#This Row],[Synergy.score]]</f>
        <v>-8.7680000000000007</v>
      </c>
      <c r="R128">
        <f>Table3[[#This Row],[Most.synergistic.area.score]]</f>
        <v>0.27900000000000003</v>
      </c>
    </row>
    <row r="129" spans="1:18" x14ac:dyDescent="0.35">
      <c r="A129" t="s">
        <v>134</v>
      </c>
      <c r="B129">
        <v>-7.0019999999999998</v>
      </c>
      <c r="C129">
        <v>0.36299999999999999</v>
      </c>
      <c r="D129" t="s">
        <v>7</v>
      </c>
      <c r="F129">
        <v>-1.0960000000000001</v>
      </c>
      <c r="H129" t="str" cm="1">
        <f t="array" ref="H129:I129">_xlfn.TEXTSPLIT(Table3[[#This Row],[Drug.combination]], " - ")</f>
        <v>PQ[SA]</v>
      </c>
      <c r="I129" t="str">
        <v>DXR[SA]</v>
      </c>
      <c r="J129" t="str" cm="1">
        <f t="array" ref="J129:K129">_xlfn.TEXTSPLIT(H129, "[")</f>
        <v>PQ</v>
      </c>
      <c r="K129" t="str">
        <v>SA]</v>
      </c>
      <c r="L129" t="str" cm="1">
        <f t="array" ref="L129:M129">_xlfn.TEXTSPLIT(I129, "[")</f>
        <v>DXR</v>
      </c>
      <c r="M129" t="str">
        <v>SA]</v>
      </c>
      <c r="O129" t="str">
        <f t="shared" si="2"/>
        <v>SA</v>
      </c>
      <c r="P129" t="str">
        <f t="shared" si="3"/>
        <v>DXR-PQ</v>
      </c>
      <c r="Q129">
        <f>Table3[[#This Row],[Synergy.score]]</f>
        <v>-7.0019999999999998</v>
      </c>
      <c r="R129">
        <f>Table3[[#This Row],[Most.synergistic.area.score]]</f>
        <v>0.36299999999999999</v>
      </c>
    </row>
    <row r="130" spans="1:18" x14ac:dyDescent="0.35">
      <c r="A130" t="s">
        <v>135</v>
      </c>
      <c r="B130">
        <v>-3.4159999999999999</v>
      </c>
      <c r="C130">
        <v>3.2879999999999998</v>
      </c>
      <c r="D130" t="s">
        <v>7</v>
      </c>
      <c r="F130">
        <v>-3.0449999999999999</v>
      </c>
      <c r="H130" t="str" cm="1">
        <f t="array" ref="H130:I130">_xlfn.TEXTSPLIT(Table3[[#This Row],[Drug.combination]], " - ")</f>
        <v>PQ[PS]</v>
      </c>
      <c r="I130" t="str">
        <v>DXR[PS]</v>
      </c>
      <c r="J130" t="str" cm="1">
        <f t="array" ref="J130:K130">_xlfn.TEXTSPLIT(H130, "[")</f>
        <v>PQ</v>
      </c>
      <c r="K130" t="str">
        <v>PS]</v>
      </c>
      <c r="L130" t="str" cm="1">
        <f t="array" ref="L130:M130">_xlfn.TEXTSPLIT(I130, "[")</f>
        <v>DXR</v>
      </c>
      <c r="M130" t="str">
        <v>PS]</v>
      </c>
      <c r="O130" t="str">
        <f t="shared" si="2"/>
        <v>PS</v>
      </c>
      <c r="P130" t="str">
        <f t="shared" si="3"/>
        <v>DXR-PQ</v>
      </c>
      <c r="Q130">
        <f>Table3[[#This Row],[Synergy.score]]</f>
        <v>-3.4159999999999999</v>
      </c>
      <c r="R130">
        <f>Table3[[#This Row],[Most.synergistic.area.score]]</f>
        <v>3.2879999999999998</v>
      </c>
    </row>
    <row r="131" spans="1:18" x14ac:dyDescent="0.35">
      <c r="A131" t="s">
        <v>136</v>
      </c>
      <c r="B131">
        <v>-2.8959999999999999</v>
      </c>
      <c r="C131">
        <v>-0.19900000000000001</v>
      </c>
      <c r="D131" t="s">
        <v>7</v>
      </c>
      <c r="F131">
        <v>-2.7629999999999999</v>
      </c>
      <c r="H131" t="str" cm="1">
        <f t="array" ref="H131:I131">_xlfn.TEXTSPLIT(Table3[[#This Row],[Drug.combination]], " - ")</f>
        <v>PQ[PS_MDR]</v>
      </c>
      <c r="I131" t="str">
        <v>DXR[PS_MDR]</v>
      </c>
      <c r="J131" t="str" cm="1">
        <f t="array" ref="J131:K131">_xlfn.TEXTSPLIT(H131, "[")</f>
        <v>PQ</v>
      </c>
      <c r="K131" t="str">
        <v>PS_MDR]</v>
      </c>
      <c r="L131" t="str" cm="1">
        <f t="array" ref="L131:M131">_xlfn.TEXTSPLIT(I131, "[")</f>
        <v>DXR</v>
      </c>
      <c r="M131" t="str">
        <v>PS_MDR]</v>
      </c>
      <c r="O131" t="str">
        <f t="shared" ref="O131:O192" si="4">LEFT(K131, LEN(K131)-1)</f>
        <v>PS_MDR</v>
      </c>
      <c r="P131" t="str">
        <f t="shared" ref="P131:P192" si="5">_xlfn.TEXTJOIN("-", TRUE, L131, J131)</f>
        <v>DXR-PQ</v>
      </c>
      <c r="Q131">
        <f>Table3[[#This Row],[Synergy.score]]</f>
        <v>-2.8959999999999999</v>
      </c>
      <c r="R131">
        <f>Table3[[#This Row],[Most.synergistic.area.score]]</f>
        <v>-0.19900000000000001</v>
      </c>
    </row>
    <row r="132" spans="1:18" x14ac:dyDescent="0.35">
      <c r="A132" t="s">
        <v>137</v>
      </c>
      <c r="B132">
        <v>-0.22900000000000001</v>
      </c>
      <c r="C132">
        <v>0.246</v>
      </c>
      <c r="D132" t="s">
        <v>7</v>
      </c>
      <c r="F132">
        <v>-5.0000000000000001E-3</v>
      </c>
      <c r="H132" t="str" cm="1">
        <f t="array" ref="H132:I132">_xlfn.TEXTSPLIT(Table3[[#This Row],[Drug.combination]], " - ")</f>
        <v>OXA[SE]</v>
      </c>
      <c r="I132" t="str">
        <v>MMC[SE]</v>
      </c>
      <c r="J132" t="str" cm="1">
        <f t="array" ref="J132:K132">_xlfn.TEXTSPLIT(H132, "[")</f>
        <v>OXA</v>
      </c>
      <c r="K132" t="str">
        <v>SE]</v>
      </c>
      <c r="L132" t="str" cm="1">
        <f t="array" ref="L132:M132">_xlfn.TEXTSPLIT(I132, "[")</f>
        <v>MMC</v>
      </c>
      <c r="M132" t="str">
        <v>SE]</v>
      </c>
      <c r="O132" t="str">
        <f t="shared" si="4"/>
        <v>SE</v>
      </c>
      <c r="P132" t="str">
        <f t="shared" si="5"/>
        <v>MMC-OXA</v>
      </c>
      <c r="Q132">
        <f>Table3[[#This Row],[Synergy.score]]</f>
        <v>-0.22900000000000001</v>
      </c>
      <c r="R132">
        <f>Table3[[#This Row],[Most.synergistic.area.score]]</f>
        <v>0.246</v>
      </c>
    </row>
    <row r="133" spans="1:18" x14ac:dyDescent="0.35">
      <c r="A133" t="s">
        <v>138</v>
      </c>
      <c r="B133">
        <v>-0.1</v>
      </c>
      <c r="C133">
        <v>0.45</v>
      </c>
      <c r="D133" t="s">
        <v>7</v>
      </c>
      <c r="F133">
        <v>-1E-3</v>
      </c>
      <c r="H133" t="str" cm="1">
        <f t="array" ref="H133:I133">_xlfn.TEXTSPLIT(Table3[[#This Row],[Drug.combination]], " - ")</f>
        <v>OXA[SA]</v>
      </c>
      <c r="I133" t="str">
        <v>MMC[SA]</v>
      </c>
      <c r="J133" t="str" cm="1">
        <f t="array" ref="J133:K133">_xlfn.TEXTSPLIT(H133, "[")</f>
        <v>OXA</v>
      </c>
      <c r="K133" t="str">
        <v>SA]</v>
      </c>
      <c r="L133" t="str" cm="1">
        <f t="array" ref="L133:M133">_xlfn.TEXTSPLIT(I133, "[")</f>
        <v>MMC</v>
      </c>
      <c r="M133" t="str">
        <v>SA]</v>
      </c>
      <c r="O133" t="str">
        <f t="shared" si="4"/>
        <v>SA</v>
      </c>
      <c r="P133" t="str">
        <f t="shared" si="5"/>
        <v>MMC-OXA</v>
      </c>
      <c r="Q133">
        <f>Table3[[#This Row],[Synergy.score]]</f>
        <v>-0.1</v>
      </c>
      <c r="R133">
        <f>Table3[[#This Row],[Most.synergistic.area.score]]</f>
        <v>0.45</v>
      </c>
    </row>
    <row r="134" spans="1:18" x14ac:dyDescent="0.35">
      <c r="A134" t="s">
        <v>139</v>
      </c>
      <c r="B134">
        <v>0.59799999999999998</v>
      </c>
      <c r="C134">
        <v>7.4219999999999997</v>
      </c>
      <c r="D134" t="s">
        <v>7</v>
      </c>
      <c r="F134">
        <v>0.95699999999999996</v>
      </c>
      <c r="H134" t="str" cm="1">
        <f t="array" ref="H134:I134">_xlfn.TEXTSPLIT(Table3[[#This Row],[Drug.combination]], " - ")</f>
        <v>OXA[PS]</v>
      </c>
      <c r="I134" t="str">
        <v>MMC[PS]</v>
      </c>
      <c r="J134" t="str" cm="1">
        <f t="array" ref="J134:K134">_xlfn.TEXTSPLIT(H134, "[")</f>
        <v>OXA</v>
      </c>
      <c r="K134" t="str">
        <v>PS]</v>
      </c>
      <c r="L134" t="str" cm="1">
        <f t="array" ref="L134:M134">_xlfn.TEXTSPLIT(I134, "[")</f>
        <v>MMC</v>
      </c>
      <c r="M134" t="str">
        <v>PS]</v>
      </c>
      <c r="O134" t="str">
        <f t="shared" si="4"/>
        <v>PS</v>
      </c>
      <c r="P134" t="str">
        <f t="shared" si="5"/>
        <v>MMC-OXA</v>
      </c>
      <c r="Q134">
        <f>Table3[[#This Row],[Synergy.score]]</f>
        <v>0.59799999999999998</v>
      </c>
      <c r="R134">
        <f>Table3[[#This Row],[Most.synergistic.area.score]]</f>
        <v>7.4219999999999997</v>
      </c>
    </row>
    <row r="135" spans="1:18" x14ac:dyDescent="0.35">
      <c r="A135" t="s">
        <v>140</v>
      </c>
      <c r="B135">
        <v>-5.3079999999999998</v>
      </c>
      <c r="C135">
        <v>0.93600000000000005</v>
      </c>
      <c r="D135" t="s">
        <v>7</v>
      </c>
      <c r="F135">
        <v>-2.3849999999999998</v>
      </c>
      <c r="H135" t="str" cm="1">
        <f t="array" ref="H135:I135">_xlfn.TEXTSPLIT(Table3[[#This Row],[Drug.combination]], " - ")</f>
        <v>OXA[PS_MDR]</v>
      </c>
      <c r="I135" t="str">
        <v>MMC[PS_MDR]</v>
      </c>
      <c r="J135" t="str" cm="1">
        <f t="array" ref="J135:K135">_xlfn.TEXTSPLIT(H135, "[")</f>
        <v>OXA</v>
      </c>
      <c r="K135" t="str">
        <v>PS_MDR]</v>
      </c>
      <c r="L135" t="str" cm="1">
        <f t="array" ref="L135:M135">_xlfn.TEXTSPLIT(I135, "[")</f>
        <v>MMC</v>
      </c>
      <c r="M135" t="str">
        <v>PS_MDR]</v>
      </c>
      <c r="O135" t="str">
        <f t="shared" si="4"/>
        <v>PS_MDR</v>
      </c>
      <c r="P135" t="str">
        <f t="shared" si="5"/>
        <v>MMC-OXA</v>
      </c>
      <c r="Q135">
        <f>Table3[[#This Row],[Synergy.score]]</f>
        <v>-5.3079999999999998</v>
      </c>
      <c r="R135">
        <f>Table3[[#This Row],[Most.synergistic.area.score]]</f>
        <v>0.93600000000000005</v>
      </c>
    </row>
    <row r="136" spans="1:18" x14ac:dyDescent="0.35">
      <c r="A136" t="s">
        <v>141</v>
      </c>
      <c r="B136">
        <v>-10.259</v>
      </c>
      <c r="C136">
        <v>2.04</v>
      </c>
      <c r="D136" t="s">
        <v>7</v>
      </c>
      <c r="F136">
        <v>-9.0039999999999996</v>
      </c>
      <c r="H136" t="str" cm="1">
        <f t="array" ref="H136:I136">_xlfn.TEXTSPLIT(Table3[[#This Row],[Drug.combination]], " - ")</f>
        <v>PHL[SE]</v>
      </c>
      <c r="I136" t="str">
        <v>NIT[SE]</v>
      </c>
      <c r="J136" t="str" cm="1">
        <f t="array" ref="J136:K136">_xlfn.TEXTSPLIT(H136, "[")</f>
        <v>PHL</v>
      </c>
      <c r="K136" t="str">
        <v>SE]</v>
      </c>
      <c r="L136" t="str" cm="1">
        <f t="array" ref="L136:M136">_xlfn.TEXTSPLIT(I136, "[")</f>
        <v>NIT</v>
      </c>
      <c r="M136" t="str">
        <v>SE]</v>
      </c>
      <c r="O136" t="str">
        <f t="shared" si="4"/>
        <v>SE</v>
      </c>
      <c r="P136" t="str">
        <f t="shared" si="5"/>
        <v>NIT-PHL</v>
      </c>
      <c r="Q136">
        <f>Table3[[#This Row],[Synergy.score]]</f>
        <v>-10.259</v>
      </c>
      <c r="R136">
        <f>Table3[[#This Row],[Most.synergistic.area.score]]</f>
        <v>2.04</v>
      </c>
    </row>
    <row r="137" spans="1:18" x14ac:dyDescent="0.35">
      <c r="A137" t="s">
        <v>142</v>
      </c>
      <c r="B137">
        <v>0.49299999999999999</v>
      </c>
      <c r="C137">
        <v>17.146999999999998</v>
      </c>
      <c r="D137" t="s">
        <v>7</v>
      </c>
      <c r="F137">
        <v>0.40500000000000003</v>
      </c>
      <c r="H137" t="str" cm="1">
        <f t="array" ref="H137:I137">_xlfn.TEXTSPLIT(Table3[[#This Row],[Drug.combination]], " - ")</f>
        <v>PHL[SA]</v>
      </c>
      <c r="I137" t="str">
        <v>NIT[SA]</v>
      </c>
      <c r="J137" t="str" cm="1">
        <f t="array" ref="J137:K137">_xlfn.TEXTSPLIT(H137, "[")</f>
        <v>PHL</v>
      </c>
      <c r="K137" t="str">
        <v>SA]</v>
      </c>
      <c r="L137" t="str" cm="1">
        <f t="array" ref="L137:M137">_xlfn.TEXTSPLIT(I137, "[")</f>
        <v>NIT</v>
      </c>
      <c r="M137" t="str">
        <v>SA]</v>
      </c>
      <c r="O137" t="str">
        <f t="shared" si="4"/>
        <v>SA</v>
      </c>
      <c r="P137" t="str">
        <f t="shared" si="5"/>
        <v>NIT-PHL</v>
      </c>
      <c r="Q137">
        <f>Table3[[#This Row],[Synergy.score]]</f>
        <v>0.49299999999999999</v>
      </c>
      <c r="R137">
        <f>Table3[[#This Row],[Most.synergistic.area.score]]</f>
        <v>17.146999999999998</v>
      </c>
    </row>
    <row r="138" spans="1:18" x14ac:dyDescent="0.35">
      <c r="A138" t="s">
        <v>143</v>
      </c>
      <c r="B138">
        <v>-2.41</v>
      </c>
      <c r="C138">
        <v>3.4660000000000002</v>
      </c>
      <c r="D138" t="s">
        <v>7</v>
      </c>
      <c r="F138">
        <v>-1.9430000000000001</v>
      </c>
      <c r="H138" t="str" cm="1">
        <f t="array" ref="H138:I138">_xlfn.TEXTSPLIT(Table3[[#This Row],[Drug.combination]], " - ")</f>
        <v>PHL[PS]</v>
      </c>
      <c r="I138" t="str">
        <v>NIT[PS]</v>
      </c>
      <c r="J138" t="str" cm="1">
        <f t="array" ref="J138:K138">_xlfn.TEXTSPLIT(H138, "[")</f>
        <v>PHL</v>
      </c>
      <c r="K138" t="str">
        <v>PS]</v>
      </c>
      <c r="L138" t="str" cm="1">
        <f t="array" ref="L138:M138">_xlfn.TEXTSPLIT(I138, "[")</f>
        <v>NIT</v>
      </c>
      <c r="M138" t="str">
        <v>PS]</v>
      </c>
      <c r="O138" t="str">
        <f t="shared" si="4"/>
        <v>PS</v>
      </c>
      <c r="P138" t="str">
        <f t="shared" si="5"/>
        <v>NIT-PHL</v>
      </c>
      <c r="Q138">
        <f>Table3[[#This Row],[Synergy.score]]</f>
        <v>-2.41</v>
      </c>
      <c r="R138">
        <f>Table3[[#This Row],[Most.synergistic.area.score]]</f>
        <v>3.4660000000000002</v>
      </c>
    </row>
    <row r="139" spans="1:18" x14ac:dyDescent="0.35">
      <c r="A139" t="s">
        <v>144</v>
      </c>
      <c r="B139">
        <v>-5.7789999999999999</v>
      </c>
      <c r="C139">
        <v>-2.5609999999999999</v>
      </c>
      <c r="D139" t="s">
        <v>7</v>
      </c>
      <c r="F139">
        <v>-5.5069999999999997</v>
      </c>
      <c r="H139" t="str" cm="1">
        <f t="array" ref="H139:I139">_xlfn.TEXTSPLIT(Table3[[#This Row],[Drug.combination]], " - ")</f>
        <v>PHL[PS_MDR]</v>
      </c>
      <c r="I139" t="str">
        <v>NIT[PS_MDR]</v>
      </c>
      <c r="J139" t="str" cm="1">
        <f t="array" ref="J139:K139">_xlfn.TEXTSPLIT(H139, "[")</f>
        <v>PHL</v>
      </c>
      <c r="K139" t="str">
        <v>PS_MDR]</v>
      </c>
      <c r="L139" t="str" cm="1">
        <f t="array" ref="L139:M139">_xlfn.TEXTSPLIT(I139, "[")</f>
        <v>NIT</v>
      </c>
      <c r="M139" t="str">
        <v>PS_MDR]</v>
      </c>
      <c r="O139" t="str">
        <f t="shared" si="4"/>
        <v>PS_MDR</v>
      </c>
      <c r="P139" t="str">
        <f t="shared" si="5"/>
        <v>NIT-PHL</v>
      </c>
      <c r="Q139">
        <f>Table3[[#This Row],[Synergy.score]]</f>
        <v>-5.7789999999999999</v>
      </c>
      <c r="R139">
        <f>Table3[[#This Row],[Most.synergistic.area.score]]</f>
        <v>-2.5609999999999999</v>
      </c>
    </row>
    <row r="140" spans="1:18" x14ac:dyDescent="0.35">
      <c r="A140" t="s">
        <v>145</v>
      </c>
      <c r="B140">
        <v>-5.8550000000000004</v>
      </c>
      <c r="C140">
        <v>1.1599999999999999</v>
      </c>
      <c r="D140" t="s">
        <v>7</v>
      </c>
      <c r="F140">
        <v>-4.242</v>
      </c>
      <c r="H140" t="str" cm="1">
        <f t="array" ref="H140:I140">_xlfn.TEXTSPLIT(Table3[[#This Row],[Drug.combination]], " - ")</f>
        <v>TPH[SE]</v>
      </c>
      <c r="I140" t="str">
        <v>OFL[SE]</v>
      </c>
      <c r="J140" t="str" cm="1">
        <f t="array" ref="J140:K140">_xlfn.TEXTSPLIT(H140, "[")</f>
        <v>TPH</v>
      </c>
      <c r="K140" t="str">
        <v>SE]</v>
      </c>
      <c r="L140" t="str" cm="1">
        <f t="array" ref="L140:M140">_xlfn.TEXTSPLIT(I140, "[")</f>
        <v>OFL</v>
      </c>
      <c r="M140" t="str">
        <v>SE]</v>
      </c>
      <c r="O140" t="str">
        <f t="shared" si="4"/>
        <v>SE</v>
      </c>
      <c r="P140" t="str">
        <f t="shared" si="5"/>
        <v>OFL-TPH</v>
      </c>
      <c r="Q140">
        <f>Table3[[#This Row],[Synergy.score]]</f>
        <v>-5.8550000000000004</v>
      </c>
      <c r="R140">
        <f>Table3[[#This Row],[Most.synergistic.area.score]]</f>
        <v>1.1599999999999999</v>
      </c>
    </row>
    <row r="141" spans="1:18" x14ac:dyDescent="0.35">
      <c r="A141" t="s">
        <v>146</v>
      </c>
      <c r="B141">
        <v>-1.94</v>
      </c>
      <c r="C141">
        <v>1.1759999999999999</v>
      </c>
      <c r="D141" t="s">
        <v>7</v>
      </c>
      <c r="F141">
        <v>-0.64200000000000002</v>
      </c>
      <c r="H141" t="str" cm="1">
        <f t="array" ref="H141:I141">_xlfn.TEXTSPLIT(Table3[[#This Row],[Drug.combination]], " - ")</f>
        <v>TPH[SA]</v>
      </c>
      <c r="I141" t="str">
        <v>OFL[SA]</v>
      </c>
      <c r="J141" t="str" cm="1">
        <f t="array" ref="J141:K141">_xlfn.TEXTSPLIT(H141, "[")</f>
        <v>TPH</v>
      </c>
      <c r="K141" t="str">
        <v>SA]</v>
      </c>
      <c r="L141" t="str" cm="1">
        <f t="array" ref="L141:M141">_xlfn.TEXTSPLIT(I141, "[")</f>
        <v>OFL</v>
      </c>
      <c r="M141" t="str">
        <v>SA]</v>
      </c>
      <c r="O141" t="str">
        <f t="shared" si="4"/>
        <v>SA</v>
      </c>
      <c r="P141" t="str">
        <f t="shared" si="5"/>
        <v>OFL-TPH</v>
      </c>
      <c r="Q141">
        <f>Table3[[#This Row],[Synergy.score]]</f>
        <v>-1.94</v>
      </c>
      <c r="R141">
        <f>Table3[[#This Row],[Most.synergistic.area.score]]</f>
        <v>1.1759999999999999</v>
      </c>
    </row>
    <row r="142" spans="1:18" x14ac:dyDescent="0.35">
      <c r="A142" t="s">
        <v>147</v>
      </c>
      <c r="B142">
        <v>-8.5920000000000005</v>
      </c>
      <c r="C142">
        <v>0.86399999999999999</v>
      </c>
      <c r="D142" t="s">
        <v>7</v>
      </c>
      <c r="F142">
        <v>-2.93</v>
      </c>
      <c r="H142" t="str" cm="1">
        <f t="array" ref="H142:I142">_xlfn.TEXTSPLIT(Table3[[#This Row],[Drug.combination]], " - ")</f>
        <v>TPH[PS]</v>
      </c>
      <c r="I142" t="str">
        <v>OFL[PS]</v>
      </c>
      <c r="J142" t="str" cm="1">
        <f t="array" ref="J142:K142">_xlfn.TEXTSPLIT(H142, "[")</f>
        <v>TPH</v>
      </c>
      <c r="K142" t="str">
        <v>PS]</v>
      </c>
      <c r="L142" t="str" cm="1">
        <f t="array" ref="L142:M142">_xlfn.TEXTSPLIT(I142, "[")</f>
        <v>OFL</v>
      </c>
      <c r="M142" t="str">
        <v>PS]</v>
      </c>
      <c r="O142" t="str">
        <f t="shared" si="4"/>
        <v>PS</v>
      </c>
      <c r="P142" t="str">
        <f t="shared" si="5"/>
        <v>OFL-TPH</v>
      </c>
      <c r="Q142">
        <f>Table3[[#This Row],[Synergy.score]]</f>
        <v>-8.5920000000000005</v>
      </c>
      <c r="R142">
        <f>Table3[[#This Row],[Most.synergistic.area.score]]</f>
        <v>0.86399999999999999</v>
      </c>
    </row>
    <row r="143" spans="1:18" x14ac:dyDescent="0.35">
      <c r="A143" t="s">
        <v>148</v>
      </c>
      <c r="B143">
        <v>-3.2530000000000001</v>
      </c>
      <c r="C143">
        <v>-0.83199999999999996</v>
      </c>
      <c r="D143" t="s">
        <v>7</v>
      </c>
      <c r="F143">
        <v>-3.153</v>
      </c>
      <c r="H143" t="str" cm="1">
        <f t="array" ref="H143:I143">_xlfn.TEXTSPLIT(Table3[[#This Row],[Drug.combination]], " - ")</f>
        <v>TPH[PS_MDR]</v>
      </c>
      <c r="I143" t="str">
        <v>OFL[PS_MDR]</v>
      </c>
      <c r="J143" t="str" cm="1">
        <f t="array" ref="J143:K143">_xlfn.TEXTSPLIT(H143, "[")</f>
        <v>TPH</v>
      </c>
      <c r="K143" t="str">
        <v>PS_MDR]</v>
      </c>
      <c r="L143" t="str" cm="1">
        <f t="array" ref="L143:M143">_xlfn.TEXTSPLIT(I143, "[")</f>
        <v>OFL</v>
      </c>
      <c r="M143" t="str">
        <v>PS_MDR]</v>
      </c>
      <c r="O143" t="str">
        <f t="shared" si="4"/>
        <v>PS_MDR</v>
      </c>
      <c r="P143" t="str">
        <f t="shared" si="5"/>
        <v>OFL-TPH</v>
      </c>
      <c r="Q143">
        <f>Table3[[#This Row],[Synergy.score]]</f>
        <v>-3.2530000000000001</v>
      </c>
      <c r="R143">
        <f>Table3[[#This Row],[Most.synergistic.area.score]]</f>
        <v>-0.83199999999999996</v>
      </c>
    </row>
    <row r="144" spans="1:18" x14ac:dyDescent="0.35">
      <c r="A144" t="s">
        <v>149</v>
      </c>
      <c r="B144">
        <v>-5.3369999999999997</v>
      </c>
      <c r="C144">
        <v>13.753</v>
      </c>
      <c r="D144" t="s">
        <v>7</v>
      </c>
      <c r="F144">
        <v>-5.2539999999999996</v>
      </c>
      <c r="H144" t="str" cm="1">
        <f t="array" ref="H144:I144">_xlfn.TEXTSPLIT(Table3[[#This Row],[Drug.combination]], " - ")</f>
        <v>PUR[SE]</v>
      </c>
      <c r="I144" t="str">
        <v>PMB[SE]</v>
      </c>
      <c r="J144" t="str" cm="1">
        <f t="array" ref="J144:K144">_xlfn.TEXTSPLIT(H144, "[")</f>
        <v>PUR</v>
      </c>
      <c r="K144" t="str">
        <v>SE]</v>
      </c>
      <c r="L144" t="str" cm="1">
        <f t="array" ref="L144:M144">_xlfn.TEXTSPLIT(I144, "[")</f>
        <v>PMB</v>
      </c>
      <c r="M144" t="str">
        <v>SE]</v>
      </c>
      <c r="O144" t="str">
        <f t="shared" si="4"/>
        <v>SE</v>
      </c>
      <c r="P144" t="str">
        <f t="shared" si="5"/>
        <v>PMB-PUR</v>
      </c>
      <c r="Q144">
        <f>Table3[[#This Row],[Synergy.score]]</f>
        <v>-5.3369999999999997</v>
      </c>
      <c r="R144">
        <f>Table3[[#This Row],[Most.synergistic.area.score]]</f>
        <v>13.753</v>
      </c>
    </row>
    <row r="145" spans="1:18" x14ac:dyDescent="0.35">
      <c r="A145" t="s">
        <v>150</v>
      </c>
      <c r="B145">
        <v>-10.773999999999999</v>
      </c>
      <c r="C145">
        <v>-0.70599999999999996</v>
      </c>
      <c r="D145" t="s">
        <v>7</v>
      </c>
      <c r="F145">
        <v>-8.2059999999999995</v>
      </c>
      <c r="H145" t="str" cm="1">
        <f t="array" ref="H145:I145">_xlfn.TEXTSPLIT(Table3[[#This Row],[Drug.combination]], " - ")</f>
        <v>PUR[SA]</v>
      </c>
      <c r="I145" t="str">
        <v>PMB[SA]</v>
      </c>
      <c r="J145" t="str" cm="1">
        <f t="array" ref="J145:K145">_xlfn.TEXTSPLIT(H145, "[")</f>
        <v>PUR</v>
      </c>
      <c r="K145" t="str">
        <v>SA]</v>
      </c>
      <c r="L145" t="str" cm="1">
        <f t="array" ref="L145:M145">_xlfn.TEXTSPLIT(I145, "[")</f>
        <v>PMB</v>
      </c>
      <c r="M145" t="str">
        <v>SA]</v>
      </c>
      <c r="O145" t="str">
        <f t="shared" si="4"/>
        <v>SA</v>
      </c>
      <c r="P145" t="str">
        <f t="shared" si="5"/>
        <v>PMB-PUR</v>
      </c>
      <c r="Q145">
        <f>Table3[[#This Row],[Synergy.score]]</f>
        <v>-10.773999999999999</v>
      </c>
      <c r="R145">
        <f>Table3[[#This Row],[Most.synergistic.area.score]]</f>
        <v>-0.70599999999999996</v>
      </c>
    </row>
    <row r="146" spans="1:18" x14ac:dyDescent="0.35">
      <c r="A146" t="s">
        <v>151</v>
      </c>
      <c r="B146">
        <v>-5.0119999999999996</v>
      </c>
      <c r="C146">
        <v>8.7230000000000008</v>
      </c>
      <c r="D146" t="s">
        <v>7</v>
      </c>
      <c r="F146">
        <v>-4.5179999999999998</v>
      </c>
      <c r="H146" t="str" cm="1">
        <f t="array" ref="H146:I146">_xlfn.TEXTSPLIT(Table3[[#This Row],[Drug.combination]], " - ")</f>
        <v>PUR[PS]</v>
      </c>
      <c r="I146" t="str">
        <v>PMB[PS]</v>
      </c>
      <c r="J146" t="str" cm="1">
        <f t="array" ref="J146:K146">_xlfn.TEXTSPLIT(H146, "[")</f>
        <v>PUR</v>
      </c>
      <c r="K146" t="str">
        <v>PS]</v>
      </c>
      <c r="L146" t="str" cm="1">
        <f t="array" ref="L146:M146">_xlfn.TEXTSPLIT(I146, "[")</f>
        <v>PMB</v>
      </c>
      <c r="M146" t="str">
        <v>PS]</v>
      </c>
      <c r="O146" t="str">
        <f t="shared" si="4"/>
        <v>PS</v>
      </c>
      <c r="P146" t="str">
        <f t="shared" si="5"/>
        <v>PMB-PUR</v>
      </c>
      <c r="Q146">
        <f>Table3[[#This Row],[Synergy.score]]</f>
        <v>-5.0119999999999996</v>
      </c>
      <c r="R146">
        <f>Table3[[#This Row],[Most.synergistic.area.score]]</f>
        <v>8.7230000000000008</v>
      </c>
    </row>
    <row r="147" spans="1:18" x14ac:dyDescent="0.35">
      <c r="A147" t="s">
        <v>152</v>
      </c>
      <c r="B147">
        <v>-11.631</v>
      </c>
      <c r="C147">
        <v>1.863</v>
      </c>
      <c r="D147" t="s">
        <v>7</v>
      </c>
      <c r="F147">
        <v>-4.806</v>
      </c>
      <c r="H147" t="str" cm="1">
        <f t="array" ref="H147:I147">_xlfn.TEXTSPLIT(Table3[[#This Row],[Drug.combination]], " - ")</f>
        <v>PUR[PS_MDR]</v>
      </c>
      <c r="I147" t="str">
        <v>PMB[PS_MDR]</v>
      </c>
      <c r="J147" t="str" cm="1">
        <f t="array" ref="J147:K147">_xlfn.TEXTSPLIT(H147, "[")</f>
        <v>PUR</v>
      </c>
      <c r="K147" t="str">
        <v>PS_MDR]</v>
      </c>
      <c r="L147" t="str" cm="1">
        <f t="array" ref="L147:M147">_xlfn.TEXTSPLIT(I147, "[")</f>
        <v>PMB</v>
      </c>
      <c r="M147" t="str">
        <v>PS_MDR]</v>
      </c>
      <c r="O147" t="str">
        <f t="shared" si="4"/>
        <v>PS_MDR</v>
      </c>
      <c r="P147" t="str">
        <f t="shared" si="5"/>
        <v>PMB-PUR</v>
      </c>
      <c r="Q147">
        <f>Table3[[#This Row],[Synergy.score]]</f>
        <v>-11.631</v>
      </c>
      <c r="R147">
        <f>Table3[[#This Row],[Most.synergistic.area.score]]</f>
        <v>1.863</v>
      </c>
    </row>
    <row r="148" spans="1:18" x14ac:dyDescent="0.35">
      <c r="A148" t="s">
        <v>153</v>
      </c>
      <c r="B148">
        <v>0.215</v>
      </c>
      <c r="C148">
        <v>9.9049999999999994</v>
      </c>
      <c r="D148" t="s">
        <v>7</v>
      </c>
      <c r="F148">
        <v>-0.33800000000000002</v>
      </c>
      <c r="H148" t="str" cm="1">
        <f t="array" ref="H148:I148">_xlfn.TEXTSPLIT(Table3[[#This Row],[Drug.combination]], " - ")</f>
        <v>DXR[SE]</v>
      </c>
      <c r="I148" t="str">
        <v>CER[SE]</v>
      </c>
      <c r="J148" t="str" cm="1">
        <f t="array" ref="J148:K148">_xlfn.TEXTSPLIT(H148, "[")</f>
        <v>DXR</v>
      </c>
      <c r="K148" t="str">
        <v>SE]</v>
      </c>
      <c r="L148" t="str" cm="1">
        <f t="array" ref="L148:M148">_xlfn.TEXTSPLIT(I148, "[")</f>
        <v>CER</v>
      </c>
      <c r="M148" t="str">
        <v>SE]</v>
      </c>
      <c r="O148" t="str">
        <f t="shared" si="4"/>
        <v>SE</v>
      </c>
      <c r="P148" t="str">
        <f t="shared" si="5"/>
        <v>CER-DXR</v>
      </c>
      <c r="Q148">
        <f>Table3[[#This Row],[Synergy.score]]</f>
        <v>0.215</v>
      </c>
      <c r="R148">
        <f>Table3[[#This Row],[Most.synergistic.area.score]]</f>
        <v>9.9049999999999994</v>
      </c>
    </row>
    <row r="149" spans="1:18" x14ac:dyDescent="0.35">
      <c r="A149" t="s">
        <v>154</v>
      </c>
      <c r="B149">
        <v>-7.8959999999999999</v>
      </c>
      <c r="C149">
        <v>8.9209999999999994</v>
      </c>
      <c r="D149" t="s">
        <v>7</v>
      </c>
      <c r="F149">
        <v>-3.4630000000000001</v>
      </c>
      <c r="H149" t="str" cm="1">
        <f t="array" ref="H149:I149">_xlfn.TEXTSPLIT(Table3[[#This Row],[Drug.combination]], " - ")</f>
        <v>DXR[SA]</v>
      </c>
      <c r="I149" t="str">
        <v>CER[SA]</v>
      </c>
      <c r="J149" t="str" cm="1">
        <f t="array" ref="J149:K149">_xlfn.TEXTSPLIT(H149, "[")</f>
        <v>DXR</v>
      </c>
      <c r="K149" t="str">
        <v>SA]</v>
      </c>
      <c r="L149" t="str" cm="1">
        <f t="array" ref="L149:M149">_xlfn.TEXTSPLIT(I149, "[")</f>
        <v>CER</v>
      </c>
      <c r="M149" t="str">
        <v>SA]</v>
      </c>
      <c r="O149" t="str">
        <f t="shared" si="4"/>
        <v>SA</v>
      </c>
      <c r="P149" t="str">
        <f t="shared" si="5"/>
        <v>CER-DXR</v>
      </c>
      <c r="Q149">
        <f>Table3[[#This Row],[Synergy.score]]</f>
        <v>-7.8959999999999999</v>
      </c>
      <c r="R149">
        <f>Table3[[#This Row],[Most.synergistic.area.score]]</f>
        <v>8.9209999999999994</v>
      </c>
    </row>
    <row r="150" spans="1:18" x14ac:dyDescent="0.35">
      <c r="A150" t="s">
        <v>155</v>
      </c>
      <c r="B150">
        <v>-20.933</v>
      </c>
      <c r="C150">
        <v>-4.9640000000000004</v>
      </c>
      <c r="D150" t="s">
        <v>7</v>
      </c>
      <c r="F150">
        <v>-18.913</v>
      </c>
      <c r="H150" t="str" cm="1">
        <f t="array" ref="H150:I150">_xlfn.TEXTSPLIT(Table3[[#This Row],[Drug.combination]], " - ")</f>
        <v>CFS[SE]</v>
      </c>
      <c r="I150" t="str">
        <v>CER[SE]</v>
      </c>
      <c r="J150" t="str" cm="1">
        <f t="array" ref="J150:K150">_xlfn.TEXTSPLIT(H150, "[")</f>
        <v>CFS</v>
      </c>
      <c r="K150" t="str">
        <v>SE]</v>
      </c>
      <c r="L150" t="str" cm="1">
        <f t="array" ref="L150:M150">_xlfn.TEXTSPLIT(I150, "[")</f>
        <v>CER</v>
      </c>
      <c r="M150" t="str">
        <v>SE]</v>
      </c>
      <c r="O150" t="str">
        <f t="shared" si="4"/>
        <v>SE</v>
      </c>
      <c r="P150" t="str">
        <f t="shared" si="5"/>
        <v>CER-CFS</v>
      </c>
      <c r="Q150">
        <f>Table3[[#This Row],[Synergy.score]]</f>
        <v>-20.933</v>
      </c>
      <c r="R150">
        <f>Table3[[#This Row],[Most.synergistic.area.score]]</f>
        <v>-4.9640000000000004</v>
      </c>
    </row>
    <row r="151" spans="1:18" x14ac:dyDescent="0.35">
      <c r="A151" t="s">
        <v>156</v>
      </c>
      <c r="B151">
        <v>-3.4569999999999999</v>
      </c>
      <c r="C151">
        <v>9.9420000000000002</v>
      </c>
      <c r="D151" t="s">
        <v>7</v>
      </c>
      <c r="F151">
        <v>-1.2509999999999999</v>
      </c>
      <c r="H151" t="str" cm="1">
        <f t="array" ref="H151:I151">_xlfn.TEXTSPLIT(Table3[[#This Row],[Drug.combination]], " - ")</f>
        <v>CFS[SA]</v>
      </c>
      <c r="I151" t="str">
        <v>CER[SA]</v>
      </c>
      <c r="J151" t="str" cm="1">
        <f t="array" ref="J151:K151">_xlfn.TEXTSPLIT(H151, "[")</f>
        <v>CFS</v>
      </c>
      <c r="K151" t="str">
        <v>SA]</v>
      </c>
      <c r="L151" t="str" cm="1">
        <f t="array" ref="L151:M151">_xlfn.TEXTSPLIT(I151, "[")</f>
        <v>CER</v>
      </c>
      <c r="M151" t="str">
        <v>SA]</v>
      </c>
      <c r="O151" t="str">
        <f t="shared" si="4"/>
        <v>SA</v>
      </c>
      <c r="P151" t="str">
        <f t="shared" si="5"/>
        <v>CER-CFS</v>
      </c>
      <c r="Q151">
        <f>Table3[[#This Row],[Synergy.score]]</f>
        <v>-3.4569999999999999</v>
      </c>
      <c r="R151">
        <f>Table3[[#This Row],[Most.synergistic.area.score]]</f>
        <v>9.9420000000000002</v>
      </c>
    </row>
    <row r="152" spans="1:18" x14ac:dyDescent="0.35">
      <c r="A152" t="s">
        <v>157</v>
      </c>
      <c r="B152">
        <v>-17.335999999999999</v>
      </c>
      <c r="C152">
        <v>-4.9029999999999996</v>
      </c>
      <c r="D152" t="s">
        <v>7</v>
      </c>
      <c r="F152">
        <v>-15.589</v>
      </c>
      <c r="H152" t="str" cm="1">
        <f t="array" ref="H152:I152">_xlfn.TEXTSPLIT(Table3[[#This Row],[Drug.combination]], " - ")</f>
        <v>KAN[SE]</v>
      </c>
      <c r="I152" t="str">
        <v>CER[SE]</v>
      </c>
      <c r="J152" t="str" cm="1">
        <f t="array" ref="J152:K152">_xlfn.TEXTSPLIT(H152, "[")</f>
        <v>KAN</v>
      </c>
      <c r="K152" t="str">
        <v>SE]</v>
      </c>
      <c r="L152" t="str" cm="1">
        <f t="array" ref="L152:M152">_xlfn.TEXTSPLIT(I152, "[")</f>
        <v>CER</v>
      </c>
      <c r="M152" t="str">
        <v>SE]</v>
      </c>
      <c r="O152" t="str">
        <f t="shared" si="4"/>
        <v>SE</v>
      </c>
      <c r="P152" t="str">
        <f t="shared" si="5"/>
        <v>CER-KAN</v>
      </c>
      <c r="Q152">
        <f>Table3[[#This Row],[Synergy.score]]</f>
        <v>-17.335999999999999</v>
      </c>
      <c r="R152">
        <f>Table3[[#This Row],[Most.synergistic.area.score]]</f>
        <v>-4.9029999999999996</v>
      </c>
    </row>
    <row r="153" spans="1:18" x14ac:dyDescent="0.35">
      <c r="A153" t="s">
        <v>158</v>
      </c>
      <c r="B153">
        <v>8.0630000000000006</v>
      </c>
      <c r="C153">
        <v>28.234999999999999</v>
      </c>
      <c r="D153" t="s">
        <v>7</v>
      </c>
      <c r="F153">
        <v>4.4859999999999998</v>
      </c>
      <c r="H153" t="str" cm="1">
        <f t="array" ref="H153:I153">_xlfn.TEXTSPLIT(Table3[[#This Row],[Drug.combination]], " - ")</f>
        <v>KAN[SA]</v>
      </c>
      <c r="I153" t="str">
        <v>CER[SA]</v>
      </c>
      <c r="J153" t="str" cm="1">
        <f t="array" ref="J153:K153">_xlfn.TEXTSPLIT(H153, "[")</f>
        <v>KAN</v>
      </c>
      <c r="K153" t="str">
        <v>SA]</v>
      </c>
      <c r="L153" t="str" cm="1">
        <f t="array" ref="L153:M153">_xlfn.TEXTSPLIT(I153, "[")</f>
        <v>CER</v>
      </c>
      <c r="M153" t="str">
        <v>SA]</v>
      </c>
      <c r="O153" t="str">
        <f t="shared" si="4"/>
        <v>SA</v>
      </c>
      <c r="P153" t="str">
        <f t="shared" si="5"/>
        <v>CER-KAN</v>
      </c>
      <c r="Q153">
        <f>Table3[[#This Row],[Synergy.score]]</f>
        <v>8.0630000000000006</v>
      </c>
      <c r="R153">
        <f>Table3[[#This Row],[Most.synergistic.area.score]]</f>
        <v>28.234999999999999</v>
      </c>
    </row>
    <row r="154" spans="1:18" x14ac:dyDescent="0.35">
      <c r="A154" t="s">
        <v>159</v>
      </c>
      <c r="B154">
        <v>-17.859000000000002</v>
      </c>
      <c r="C154">
        <v>-7.4329999999999998</v>
      </c>
      <c r="D154" t="s">
        <v>7</v>
      </c>
      <c r="F154">
        <v>-16.498999999999999</v>
      </c>
      <c r="H154" t="str" cm="1">
        <f t="array" ref="H154:I154">_xlfn.TEXTSPLIT(Table3[[#This Row],[Drug.combination]], " - ")</f>
        <v>PMB[SE]</v>
      </c>
      <c r="I154" t="str">
        <v>CER[SE]</v>
      </c>
      <c r="J154" t="str" cm="1">
        <f t="array" ref="J154:K154">_xlfn.TEXTSPLIT(H154, "[")</f>
        <v>PMB</v>
      </c>
      <c r="K154" t="str">
        <v>SE]</v>
      </c>
      <c r="L154" t="str" cm="1">
        <f t="array" ref="L154:M154">_xlfn.TEXTSPLIT(I154, "[")</f>
        <v>CER</v>
      </c>
      <c r="M154" t="str">
        <v>SE]</v>
      </c>
      <c r="O154" t="str">
        <f t="shared" si="4"/>
        <v>SE</v>
      </c>
      <c r="P154" t="str">
        <f t="shared" si="5"/>
        <v>CER-PMB</v>
      </c>
      <c r="Q154">
        <f>Table3[[#This Row],[Synergy.score]]</f>
        <v>-17.859000000000002</v>
      </c>
      <c r="R154">
        <f>Table3[[#This Row],[Most.synergistic.area.score]]</f>
        <v>-7.4329999999999998</v>
      </c>
    </row>
    <row r="155" spans="1:18" x14ac:dyDescent="0.35">
      <c r="A155" t="s">
        <v>160</v>
      </c>
      <c r="B155">
        <v>-10.532</v>
      </c>
      <c r="C155">
        <v>-0.185</v>
      </c>
      <c r="D155" t="s">
        <v>7</v>
      </c>
      <c r="F155">
        <v>-8.7420000000000009</v>
      </c>
      <c r="H155" t="str" cm="1">
        <f t="array" ref="H155:I155">_xlfn.TEXTSPLIT(Table3[[#This Row],[Drug.combination]], " - ")</f>
        <v>PMB[SA]</v>
      </c>
      <c r="I155" t="str">
        <v>CER[SA]</v>
      </c>
      <c r="J155" t="str" cm="1">
        <f t="array" ref="J155:K155">_xlfn.TEXTSPLIT(H155, "[")</f>
        <v>PMB</v>
      </c>
      <c r="K155" t="str">
        <v>SA]</v>
      </c>
      <c r="L155" t="str" cm="1">
        <f t="array" ref="L155:M155">_xlfn.TEXTSPLIT(I155, "[")</f>
        <v>CER</v>
      </c>
      <c r="M155" t="str">
        <v>SA]</v>
      </c>
      <c r="O155" t="str">
        <f t="shared" si="4"/>
        <v>SA</v>
      </c>
      <c r="P155" t="str">
        <f t="shared" si="5"/>
        <v>CER-PMB</v>
      </c>
      <c r="Q155">
        <f>Table3[[#This Row],[Synergy.score]]</f>
        <v>-10.532</v>
      </c>
      <c r="R155">
        <f>Table3[[#This Row],[Most.synergistic.area.score]]</f>
        <v>-0.185</v>
      </c>
    </row>
    <row r="156" spans="1:18" x14ac:dyDescent="0.35">
      <c r="A156" t="s">
        <v>161</v>
      </c>
      <c r="B156">
        <v>1.2310000000000001</v>
      </c>
      <c r="C156">
        <v>29.212</v>
      </c>
      <c r="D156" t="s">
        <v>7</v>
      </c>
      <c r="F156">
        <v>0.82599999999999996</v>
      </c>
      <c r="H156" t="str" cm="1">
        <f t="array" ref="H156:I156">_xlfn.TEXTSPLIT(Table3[[#This Row],[Drug.combination]], " - ")</f>
        <v>MOX[SE]</v>
      </c>
      <c r="I156" t="str">
        <v>CET[SE]</v>
      </c>
      <c r="J156" t="str" cm="1">
        <f t="array" ref="J156:K156">_xlfn.TEXTSPLIT(H156, "[")</f>
        <v>MOX</v>
      </c>
      <c r="K156" t="str">
        <v>SE]</v>
      </c>
      <c r="L156" t="str" cm="1">
        <f t="array" ref="L156:M156">_xlfn.TEXTSPLIT(I156, "[")</f>
        <v>CET</v>
      </c>
      <c r="M156" t="str">
        <v>SE]</v>
      </c>
      <c r="O156" t="str">
        <f t="shared" si="4"/>
        <v>SE</v>
      </c>
      <c r="P156" t="str">
        <f t="shared" si="5"/>
        <v>CET-MOX</v>
      </c>
      <c r="Q156">
        <f>Table3[[#This Row],[Synergy.score]]</f>
        <v>1.2310000000000001</v>
      </c>
      <c r="R156">
        <f>Table3[[#This Row],[Most.synergistic.area.score]]</f>
        <v>29.212</v>
      </c>
    </row>
    <row r="157" spans="1:18" x14ac:dyDescent="0.35">
      <c r="A157" t="s">
        <v>162</v>
      </c>
      <c r="B157">
        <v>-0.622</v>
      </c>
      <c r="C157">
        <v>0.77500000000000002</v>
      </c>
      <c r="D157" t="s">
        <v>7</v>
      </c>
      <c r="F157">
        <v>-1.4E-2</v>
      </c>
      <c r="H157" t="str" cm="1">
        <f t="array" ref="H157:I157">_xlfn.TEXTSPLIT(Table3[[#This Row],[Drug.combination]], " - ")</f>
        <v>MOX[SA]</v>
      </c>
      <c r="I157" t="str">
        <v>CET[SA]</v>
      </c>
      <c r="J157" t="str" cm="1">
        <f t="array" ref="J157:K157">_xlfn.TEXTSPLIT(H157, "[")</f>
        <v>MOX</v>
      </c>
      <c r="K157" t="str">
        <v>SA]</v>
      </c>
      <c r="L157" t="str" cm="1">
        <f t="array" ref="L157:M157">_xlfn.TEXTSPLIT(I157, "[")</f>
        <v>CET</v>
      </c>
      <c r="M157" t="str">
        <v>SA]</v>
      </c>
      <c r="O157" t="str">
        <f t="shared" si="4"/>
        <v>SA</v>
      </c>
      <c r="P157" t="str">
        <f t="shared" si="5"/>
        <v>CET-MOX</v>
      </c>
      <c r="Q157">
        <f>Table3[[#This Row],[Synergy.score]]</f>
        <v>-0.622</v>
      </c>
      <c r="R157">
        <f>Table3[[#This Row],[Most.synergistic.area.score]]</f>
        <v>0.77500000000000002</v>
      </c>
    </row>
    <row r="158" spans="1:18" x14ac:dyDescent="0.35">
      <c r="A158" t="s">
        <v>163</v>
      </c>
      <c r="B158">
        <v>4.375</v>
      </c>
      <c r="C158">
        <v>27.016999999999999</v>
      </c>
      <c r="D158" t="s">
        <v>7</v>
      </c>
      <c r="F158">
        <v>1.8420000000000001</v>
      </c>
      <c r="H158" t="str" cm="1">
        <f t="array" ref="H158:I158">_xlfn.TEXTSPLIT(Table3[[#This Row],[Drug.combination]], " - ")</f>
        <v>MOX[PS]</v>
      </c>
      <c r="I158" t="str">
        <v>CET[PS]</v>
      </c>
      <c r="J158" t="str" cm="1">
        <f t="array" ref="J158:K158">_xlfn.TEXTSPLIT(H158, "[")</f>
        <v>MOX</v>
      </c>
      <c r="K158" t="str">
        <v>PS]</v>
      </c>
      <c r="L158" t="str" cm="1">
        <f t="array" ref="L158:M158">_xlfn.TEXTSPLIT(I158, "[")</f>
        <v>CET</v>
      </c>
      <c r="M158" t="str">
        <v>PS]</v>
      </c>
      <c r="O158" t="str">
        <f t="shared" si="4"/>
        <v>PS</v>
      </c>
      <c r="P158" t="str">
        <f t="shared" si="5"/>
        <v>CET-MOX</v>
      </c>
      <c r="Q158">
        <f>Table3[[#This Row],[Synergy.score]]</f>
        <v>4.375</v>
      </c>
      <c r="R158">
        <f>Table3[[#This Row],[Most.synergistic.area.score]]</f>
        <v>27.016999999999999</v>
      </c>
    </row>
    <row r="159" spans="1:18" x14ac:dyDescent="0.35">
      <c r="A159" t="s">
        <v>164</v>
      </c>
      <c r="B159">
        <v>-3.0259999999999998</v>
      </c>
      <c r="C159">
        <v>-0.14199999999999999</v>
      </c>
      <c r="D159" t="s">
        <v>7</v>
      </c>
      <c r="F159">
        <v>-3.0150000000000001</v>
      </c>
      <c r="H159" t="str" cm="1">
        <f t="array" ref="H159:I159">_xlfn.TEXTSPLIT(Table3[[#This Row],[Drug.combination]], " - ")</f>
        <v>MOX[PS_MDR]</v>
      </c>
      <c r="I159" t="str">
        <v>CET[PS_MDR]</v>
      </c>
      <c r="J159" t="str" cm="1">
        <f t="array" ref="J159:K159">_xlfn.TEXTSPLIT(H159, "[")</f>
        <v>MOX</v>
      </c>
      <c r="K159" t="str">
        <v>PS_MDR]</v>
      </c>
      <c r="L159" t="str" cm="1">
        <f t="array" ref="L159:M159">_xlfn.TEXTSPLIT(I159, "[")</f>
        <v>CET</v>
      </c>
      <c r="M159" t="str">
        <v>PS_MDR]</v>
      </c>
      <c r="O159" t="str">
        <f t="shared" si="4"/>
        <v>PS_MDR</v>
      </c>
      <c r="P159" t="str">
        <f t="shared" si="5"/>
        <v>CET-MOX</v>
      </c>
      <c r="Q159">
        <f>Table3[[#This Row],[Synergy.score]]</f>
        <v>-3.0259999999999998</v>
      </c>
      <c r="R159">
        <f>Table3[[#This Row],[Most.synergistic.area.score]]</f>
        <v>-0.14199999999999999</v>
      </c>
    </row>
    <row r="160" spans="1:18" x14ac:dyDescent="0.35">
      <c r="A160" t="s">
        <v>165</v>
      </c>
      <c r="B160">
        <v>0.26</v>
      </c>
      <c r="C160">
        <v>3.5110000000000001</v>
      </c>
      <c r="D160" t="s">
        <v>7</v>
      </c>
      <c r="F160">
        <v>8.8999999999999996E-2</v>
      </c>
      <c r="H160" t="str" cm="1">
        <f t="array" ref="H160:I160">_xlfn.TEXTSPLIT(Table3[[#This Row],[Drug.combination]], " - ")</f>
        <v>GAT[SA_ATCC]</v>
      </c>
      <c r="I160" t="str">
        <v>CET[SA_ATCC]</v>
      </c>
      <c r="J160" t="str" cm="1">
        <f t="array" ref="J160:K160">_xlfn.TEXTSPLIT(H160, "[")</f>
        <v>GAT</v>
      </c>
      <c r="K160" t="str">
        <v>SA_ATCC]</v>
      </c>
      <c r="L160" t="str" cm="1">
        <f t="array" ref="L160:M160">_xlfn.TEXTSPLIT(I160, "[")</f>
        <v>CET</v>
      </c>
      <c r="M160" t="str">
        <v>SA_ATCC]</v>
      </c>
      <c r="O160" t="str">
        <f t="shared" si="4"/>
        <v>SA_ATCC</v>
      </c>
      <c r="P160" t="str">
        <f t="shared" si="5"/>
        <v>CET-GAT</v>
      </c>
      <c r="Q160">
        <f>Table3[[#This Row],[Synergy.score]]</f>
        <v>0.26</v>
      </c>
      <c r="R160">
        <f>Table3[[#This Row],[Most.synergistic.area.score]]</f>
        <v>3.5110000000000001</v>
      </c>
    </row>
    <row r="161" spans="1:18" x14ac:dyDescent="0.35">
      <c r="A161" t="s">
        <v>166</v>
      </c>
      <c r="B161">
        <v>0.434</v>
      </c>
      <c r="C161">
        <v>33.137</v>
      </c>
      <c r="D161" t="s">
        <v>7</v>
      </c>
      <c r="F161">
        <v>0.01</v>
      </c>
      <c r="H161" t="str" cm="1">
        <f t="array" ref="H161:I161">_xlfn.TEXTSPLIT(Table3[[#This Row],[Drug.combination]], " - ")</f>
        <v>GAT[PS_ATCC]</v>
      </c>
      <c r="I161" t="str">
        <v>CET[PS_ATCC]</v>
      </c>
      <c r="J161" t="str" cm="1">
        <f t="array" ref="J161:K161">_xlfn.TEXTSPLIT(H161, "[")</f>
        <v>GAT</v>
      </c>
      <c r="K161" t="str">
        <v>PS_ATCC]</v>
      </c>
      <c r="L161" t="str" cm="1">
        <f t="array" ref="L161:M161">_xlfn.TEXTSPLIT(I161, "[")</f>
        <v>CET</v>
      </c>
      <c r="M161" t="str">
        <v>PS_ATCC]</v>
      </c>
      <c r="O161" t="str">
        <f t="shared" si="4"/>
        <v>PS_ATCC</v>
      </c>
      <c r="P161" t="str">
        <f t="shared" si="5"/>
        <v>CET-GAT</v>
      </c>
      <c r="Q161">
        <f>Table3[[#This Row],[Synergy.score]]</f>
        <v>0.434</v>
      </c>
      <c r="R161">
        <f>Table3[[#This Row],[Most.synergistic.area.score]]</f>
        <v>33.137</v>
      </c>
    </row>
    <row r="162" spans="1:18" x14ac:dyDescent="0.35">
      <c r="A162" t="s">
        <v>167</v>
      </c>
      <c r="B162">
        <v>3.5289999999999999</v>
      </c>
      <c r="C162">
        <v>37.844999999999999</v>
      </c>
      <c r="D162" t="s">
        <v>7</v>
      </c>
      <c r="F162">
        <v>1.92</v>
      </c>
      <c r="H162" t="str" cm="1">
        <f t="array" ref="H162:I162">_xlfn.TEXTSPLIT(Table3[[#This Row],[Drug.combination]], " - ")</f>
        <v>GAT[SE]</v>
      </c>
      <c r="I162" t="str">
        <v>CET[SE]</v>
      </c>
      <c r="J162" t="str" cm="1">
        <f t="array" ref="J162:K162">_xlfn.TEXTSPLIT(H162, "[")</f>
        <v>GAT</v>
      </c>
      <c r="K162" t="str">
        <v>SE]</v>
      </c>
      <c r="L162" t="str" cm="1">
        <f t="array" ref="L162:M162">_xlfn.TEXTSPLIT(I162, "[")</f>
        <v>CET</v>
      </c>
      <c r="M162" t="str">
        <v>SE]</v>
      </c>
      <c r="O162" t="str">
        <f t="shared" si="4"/>
        <v>SE</v>
      </c>
      <c r="P162" t="str">
        <f t="shared" si="5"/>
        <v>CET-GAT</v>
      </c>
      <c r="Q162">
        <f>Table3[[#This Row],[Synergy.score]]</f>
        <v>3.5289999999999999</v>
      </c>
      <c r="R162">
        <f>Table3[[#This Row],[Most.synergistic.area.score]]</f>
        <v>37.844999999999999</v>
      </c>
    </row>
    <row r="163" spans="1:18" x14ac:dyDescent="0.35">
      <c r="A163" t="s">
        <v>168</v>
      </c>
      <c r="B163">
        <v>-0.10299999999999999</v>
      </c>
      <c r="C163">
        <v>1.3859999999999999</v>
      </c>
      <c r="D163" t="s">
        <v>7</v>
      </c>
      <c r="F163">
        <v>1E-3</v>
      </c>
      <c r="H163" t="str" cm="1">
        <f t="array" ref="H163:I163">_xlfn.TEXTSPLIT(Table3[[#This Row],[Drug.combination]], " - ")</f>
        <v>GAT[SA]</v>
      </c>
      <c r="I163" t="str">
        <v>CET[SA]</v>
      </c>
      <c r="J163" t="str" cm="1">
        <f t="array" ref="J163:K163">_xlfn.TEXTSPLIT(H163, "[")</f>
        <v>GAT</v>
      </c>
      <c r="K163" t="str">
        <v>SA]</v>
      </c>
      <c r="L163" t="str" cm="1">
        <f t="array" ref="L163:M163">_xlfn.TEXTSPLIT(I163, "[")</f>
        <v>CET</v>
      </c>
      <c r="M163" t="str">
        <v>SA]</v>
      </c>
      <c r="O163" t="str">
        <f t="shared" si="4"/>
        <v>SA</v>
      </c>
      <c r="P163" t="str">
        <f t="shared" si="5"/>
        <v>CET-GAT</v>
      </c>
      <c r="Q163">
        <f>Table3[[#This Row],[Synergy.score]]</f>
        <v>-0.10299999999999999</v>
      </c>
      <c r="R163">
        <f>Table3[[#This Row],[Most.synergistic.area.score]]</f>
        <v>1.3859999999999999</v>
      </c>
    </row>
    <row r="164" spans="1:18" x14ac:dyDescent="0.35">
      <c r="A164" t="s">
        <v>169</v>
      </c>
      <c r="B164">
        <v>5.3079999999999998</v>
      </c>
      <c r="C164">
        <v>28.908000000000001</v>
      </c>
      <c r="D164" t="s">
        <v>7</v>
      </c>
      <c r="F164">
        <v>2.855</v>
      </c>
      <c r="H164" t="str" cm="1">
        <f t="array" ref="H164:I164">_xlfn.TEXTSPLIT(Table3[[#This Row],[Drug.combination]], " - ")</f>
        <v>GAT[PS]</v>
      </c>
      <c r="I164" t="str">
        <v>CET[PS]</v>
      </c>
      <c r="J164" t="str" cm="1">
        <f t="array" ref="J164:K164">_xlfn.TEXTSPLIT(H164, "[")</f>
        <v>GAT</v>
      </c>
      <c r="K164" t="str">
        <v>PS]</v>
      </c>
      <c r="L164" t="str" cm="1">
        <f t="array" ref="L164:M164">_xlfn.TEXTSPLIT(I164, "[")</f>
        <v>CET</v>
      </c>
      <c r="M164" t="str">
        <v>PS]</v>
      </c>
      <c r="O164" t="str">
        <f t="shared" si="4"/>
        <v>PS</v>
      </c>
      <c r="P164" t="str">
        <f t="shared" si="5"/>
        <v>CET-GAT</v>
      </c>
      <c r="Q164">
        <f>Table3[[#This Row],[Synergy.score]]</f>
        <v>5.3079999999999998</v>
      </c>
      <c r="R164">
        <f>Table3[[#This Row],[Most.synergistic.area.score]]</f>
        <v>28.908000000000001</v>
      </c>
    </row>
    <row r="165" spans="1:18" x14ac:dyDescent="0.35">
      <c r="A165" t="s">
        <v>170</v>
      </c>
      <c r="B165">
        <v>-0.59199999999999997</v>
      </c>
      <c r="C165">
        <v>4.0430000000000001</v>
      </c>
      <c r="D165" t="s">
        <v>7</v>
      </c>
      <c r="F165">
        <v>-0.58499999999999996</v>
      </c>
      <c r="H165" t="str" cm="1">
        <f t="array" ref="H165:I165">_xlfn.TEXTSPLIT(Table3[[#This Row],[Drug.combination]], " - ")</f>
        <v>GAT[PS_MDR]</v>
      </c>
      <c r="I165" t="str">
        <v>CET[PS_MDR]</v>
      </c>
      <c r="J165" t="str" cm="1">
        <f t="array" ref="J165:K165">_xlfn.TEXTSPLIT(H165, "[")</f>
        <v>GAT</v>
      </c>
      <c r="K165" t="str">
        <v>PS_MDR]</v>
      </c>
      <c r="L165" t="str" cm="1">
        <f t="array" ref="L165:M165">_xlfn.TEXTSPLIT(I165, "[")</f>
        <v>CET</v>
      </c>
      <c r="M165" t="str">
        <v>PS_MDR]</v>
      </c>
      <c r="O165" t="str">
        <f t="shared" si="4"/>
        <v>PS_MDR</v>
      </c>
      <c r="P165" t="str">
        <f t="shared" si="5"/>
        <v>CET-GAT</v>
      </c>
      <c r="Q165">
        <f>Table3[[#This Row],[Synergy.score]]</f>
        <v>-0.59199999999999997</v>
      </c>
      <c r="R165">
        <f>Table3[[#This Row],[Most.synergistic.area.score]]</f>
        <v>4.0430000000000001</v>
      </c>
    </row>
    <row r="166" spans="1:18" x14ac:dyDescent="0.35">
      <c r="A166" t="s">
        <v>171</v>
      </c>
      <c r="B166">
        <v>2.09</v>
      </c>
      <c r="C166">
        <v>14.862</v>
      </c>
      <c r="D166" t="s">
        <v>7</v>
      </c>
      <c r="F166">
        <v>1.0329999999999999</v>
      </c>
      <c r="H166" t="str" cm="1">
        <f t="array" ref="H166:I166">_xlfn.TEXTSPLIT(Table3[[#This Row],[Drug.combination]], " - ")</f>
        <v>GAT[SA_ATCC]</v>
      </c>
      <c r="I166" t="str">
        <v>CFS[SA_ATCC]</v>
      </c>
      <c r="J166" t="str" cm="1">
        <f t="array" ref="J166:K166">_xlfn.TEXTSPLIT(H166, "[")</f>
        <v>GAT</v>
      </c>
      <c r="K166" t="str">
        <v>SA_ATCC]</v>
      </c>
      <c r="L166" t="str" cm="1">
        <f t="array" ref="L166:M166">_xlfn.TEXTSPLIT(I166, "[")</f>
        <v>CFS</v>
      </c>
      <c r="M166" t="str">
        <v>SA_ATCC]</v>
      </c>
      <c r="O166" t="str">
        <f t="shared" si="4"/>
        <v>SA_ATCC</v>
      </c>
      <c r="P166" t="str">
        <f t="shared" si="5"/>
        <v>CFS-GAT</v>
      </c>
      <c r="Q166">
        <f>Table3[[#This Row],[Synergy.score]]</f>
        <v>2.09</v>
      </c>
      <c r="R166">
        <f>Table3[[#This Row],[Most.synergistic.area.score]]</f>
        <v>14.862</v>
      </c>
    </row>
    <row r="167" spans="1:18" x14ac:dyDescent="0.35">
      <c r="A167" t="s">
        <v>172</v>
      </c>
      <c r="B167">
        <v>4.9459999999999997</v>
      </c>
      <c r="C167">
        <v>40.420999999999999</v>
      </c>
      <c r="D167" t="s">
        <v>7</v>
      </c>
      <c r="F167">
        <v>3.2949999999999999</v>
      </c>
      <c r="H167" t="str" cm="1">
        <f t="array" ref="H167:I167">_xlfn.TEXTSPLIT(Table3[[#This Row],[Drug.combination]], " - ")</f>
        <v>GAT[PS_ATCC]</v>
      </c>
      <c r="I167" t="str">
        <v>CFS[PS_ATCC]</v>
      </c>
      <c r="J167" t="str" cm="1">
        <f t="array" ref="J167:K167">_xlfn.TEXTSPLIT(H167, "[")</f>
        <v>GAT</v>
      </c>
      <c r="K167" t="str">
        <v>PS_ATCC]</v>
      </c>
      <c r="L167" t="str" cm="1">
        <f t="array" ref="L167:M167">_xlfn.TEXTSPLIT(I167, "[")</f>
        <v>CFS</v>
      </c>
      <c r="M167" t="str">
        <v>PS_ATCC]</v>
      </c>
      <c r="O167" t="str">
        <f t="shared" si="4"/>
        <v>PS_ATCC</v>
      </c>
      <c r="P167" t="str">
        <f t="shared" si="5"/>
        <v>CFS-GAT</v>
      </c>
      <c r="Q167">
        <f>Table3[[#This Row],[Synergy.score]]</f>
        <v>4.9459999999999997</v>
      </c>
      <c r="R167">
        <f>Table3[[#This Row],[Most.synergistic.area.score]]</f>
        <v>40.420999999999999</v>
      </c>
    </row>
    <row r="168" spans="1:18" x14ac:dyDescent="0.35">
      <c r="A168" t="s">
        <v>173</v>
      </c>
      <c r="B168">
        <v>-10.929</v>
      </c>
      <c r="C168">
        <v>7.2030000000000003</v>
      </c>
      <c r="D168" t="s">
        <v>7</v>
      </c>
      <c r="F168">
        <v>-7.3369999999999997</v>
      </c>
      <c r="H168" t="str" cm="1">
        <f t="array" ref="H168:I168">_xlfn.TEXTSPLIT(Table3[[#This Row],[Drug.combination]], " - ")</f>
        <v>GAT[SE]</v>
      </c>
      <c r="I168" t="str">
        <v>CFS[SE]</v>
      </c>
      <c r="J168" t="str" cm="1">
        <f t="array" ref="J168:K168">_xlfn.TEXTSPLIT(H168, "[")</f>
        <v>GAT</v>
      </c>
      <c r="K168" t="str">
        <v>SE]</v>
      </c>
      <c r="L168" t="str" cm="1">
        <f t="array" ref="L168:M168">_xlfn.TEXTSPLIT(I168, "[")</f>
        <v>CFS</v>
      </c>
      <c r="M168" t="str">
        <v>SE]</v>
      </c>
      <c r="O168" t="str">
        <f t="shared" si="4"/>
        <v>SE</v>
      </c>
      <c r="P168" t="str">
        <f t="shared" si="5"/>
        <v>CFS-GAT</v>
      </c>
      <c r="Q168">
        <f>Table3[[#This Row],[Synergy.score]]</f>
        <v>-10.929</v>
      </c>
      <c r="R168">
        <f>Table3[[#This Row],[Most.synergistic.area.score]]</f>
        <v>7.2030000000000003</v>
      </c>
    </row>
    <row r="169" spans="1:18" x14ac:dyDescent="0.35">
      <c r="A169" t="s">
        <v>174</v>
      </c>
      <c r="B169">
        <v>1.282</v>
      </c>
      <c r="C169">
        <v>14.268000000000001</v>
      </c>
      <c r="D169" t="s">
        <v>7</v>
      </c>
      <c r="F169">
        <v>1.331</v>
      </c>
      <c r="H169" t="str" cm="1">
        <f t="array" ref="H169:I169">_xlfn.TEXTSPLIT(Table3[[#This Row],[Drug.combination]], " - ")</f>
        <v>GAT[SA]</v>
      </c>
      <c r="I169" t="str">
        <v>CFS[SA]</v>
      </c>
      <c r="J169" t="str" cm="1">
        <f t="array" ref="J169:K169">_xlfn.TEXTSPLIT(H169, "[")</f>
        <v>GAT</v>
      </c>
      <c r="K169" t="str">
        <v>SA]</v>
      </c>
      <c r="L169" t="str" cm="1">
        <f t="array" ref="L169:M169">_xlfn.TEXTSPLIT(I169, "[")</f>
        <v>CFS</v>
      </c>
      <c r="M169" t="str">
        <v>SA]</v>
      </c>
      <c r="O169" t="str">
        <f t="shared" si="4"/>
        <v>SA</v>
      </c>
      <c r="P169" t="str">
        <f t="shared" si="5"/>
        <v>CFS-GAT</v>
      </c>
      <c r="Q169">
        <f>Table3[[#This Row],[Synergy.score]]</f>
        <v>1.282</v>
      </c>
      <c r="R169">
        <f>Table3[[#This Row],[Most.synergistic.area.score]]</f>
        <v>14.268000000000001</v>
      </c>
    </row>
    <row r="170" spans="1:18" x14ac:dyDescent="0.35">
      <c r="A170" t="s">
        <v>175</v>
      </c>
      <c r="B170">
        <v>6.6040000000000001</v>
      </c>
      <c r="C170">
        <v>36.869999999999997</v>
      </c>
      <c r="D170" t="s">
        <v>7</v>
      </c>
      <c r="F170">
        <v>4.2619999999999996</v>
      </c>
      <c r="H170" t="str" cm="1">
        <f t="array" ref="H170:I170">_xlfn.TEXTSPLIT(Table3[[#This Row],[Drug.combination]], " - ")</f>
        <v>GAT[PS]</v>
      </c>
      <c r="I170" t="str">
        <v>CFS[PS]</v>
      </c>
      <c r="J170" t="str" cm="1">
        <f t="array" ref="J170:K170">_xlfn.TEXTSPLIT(H170, "[")</f>
        <v>GAT</v>
      </c>
      <c r="K170" t="str">
        <v>PS]</v>
      </c>
      <c r="L170" t="str" cm="1">
        <f t="array" ref="L170:M170">_xlfn.TEXTSPLIT(I170, "[")</f>
        <v>CFS</v>
      </c>
      <c r="M170" t="str">
        <v>PS]</v>
      </c>
      <c r="O170" t="str">
        <f t="shared" si="4"/>
        <v>PS</v>
      </c>
      <c r="P170" t="str">
        <f t="shared" si="5"/>
        <v>CFS-GAT</v>
      </c>
      <c r="Q170">
        <f>Table3[[#This Row],[Synergy.score]]</f>
        <v>6.6040000000000001</v>
      </c>
      <c r="R170">
        <f>Table3[[#This Row],[Most.synergistic.area.score]]</f>
        <v>36.869999999999997</v>
      </c>
    </row>
    <row r="171" spans="1:18" x14ac:dyDescent="0.35">
      <c r="A171" t="s">
        <v>176</v>
      </c>
      <c r="B171">
        <v>-2.1480000000000001</v>
      </c>
      <c r="C171">
        <v>0.11700000000000001</v>
      </c>
      <c r="D171" t="s">
        <v>7</v>
      </c>
      <c r="F171">
        <v>-2.0470000000000002</v>
      </c>
      <c r="H171" t="str" cm="1">
        <f t="array" ref="H171:I171">_xlfn.TEXTSPLIT(Table3[[#This Row],[Drug.combination]], " - ")</f>
        <v>GAT[PS_MDR]</v>
      </c>
      <c r="I171" t="str">
        <v>CFS[PS_MDR]</v>
      </c>
      <c r="J171" t="str" cm="1">
        <f t="array" ref="J171:K171">_xlfn.TEXTSPLIT(H171, "[")</f>
        <v>GAT</v>
      </c>
      <c r="K171" t="str">
        <v>PS_MDR]</v>
      </c>
      <c r="L171" t="str" cm="1">
        <f t="array" ref="L171:M171">_xlfn.TEXTSPLIT(I171, "[")</f>
        <v>CFS</v>
      </c>
      <c r="M171" t="str">
        <v>PS_MDR]</v>
      </c>
      <c r="O171" t="str">
        <f t="shared" si="4"/>
        <v>PS_MDR</v>
      </c>
      <c r="P171" t="str">
        <f t="shared" si="5"/>
        <v>CFS-GAT</v>
      </c>
      <c r="Q171">
        <f>Table3[[#This Row],[Synergy.score]]</f>
        <v>-2.1480000000000001</v>
      </c>
      <c r="R171">
        <f>Table3[[#This Row],[Most.synergistic.area.score]]</f>
        <v>0.11700000000000001</v>
      </c>
    </row>
    <row r="172" spans="1:18" x14ac:dyDescent="0.35">
      <c r="A172" t="s">
        <v>177</v>
      </c>
      <c r="B172">
        <v>2.1680000000000001</v>
      </c>
      <c r="C172">
        <v>23.196000000000002</v>
      </c>
      <c r="D172" t="s">
        <v>7</v>
      </c>
      <c r="F172">
        <v>1.141</v>
      </c>
      <c r="H172" t="str" cm="1">
        <f t="array" ref="H172:I172">_xlfn.TEXTSPLIT(Table3[[#This Row],[Drug.combination]], " - ")</f>
        <v>MOX[SE]</v>
      </c>
      <c r="I172" t="str">
        <v>CFS[SE]</v>
      </c>
      <c r="J172" t="str" cm="1">
        <f t="array" ref="J172:K172">_xlfn.TEXTSPLIT(H172, "[")</f>
        <v>MOX</v>
      </c>
      <c r="K172" t="str">
        <v>SE]</v>
      </c>
      <c r="L172" t="str" cm="1">
        <f t="array" ref="L172:M172">_xlfn.TEXTSPLIT(I172, "[")</f>
        <v>CFS</v>
      </c>
      <c r="M172" t="str">
        <v>SE]</v>
      </c>
      <c r="O172" t="str">
        <f t="shared" si="4"/>
        <v>SE</v>
      </c>
      <c r="P172" t="str">
        <f t="shared" si="5"/>
        <v>CFS-MOX</v>
      </c>
      <c r="Q172">
        <f>Table3[[#This Row],[Synergy.score]]</f>
        <v>2.1680000000000001</v>
      </c>
      <c r="R172">
        <f>Table3[[#This Row],[Most.synergistic.area.score]]</f>
        <v>23.196000000000002</v>
      </c>
    </row>
    <row r="173" spans="1:18" x14ac:dyDescent="0.35">
      <c r="A173" t="s">
        <v>178</v>
      </c>
      <c r="B173">
        <v>0.312</v>
      </c>
      <c r="C173">
        <v>2.9630000000000001</v>
      </c>
      <c r="D173" t="s">
        <v>7</v>
      </c>
      <c r="F173">
        <v>0.124</v>
      </c>
      <c r="H173" t="str" cm="1">
        <f t="array" ref="H173:I173">_xlfn.TEXTSPLIT(Table3[[#This Row],[Drug.combination]], " - ")</f>
        <v>MOX[SA]</v>
      </c>
      <c r="I173" t="str">
        <v>CFS[SA]</v>
      </c>
      <c r="J173" t="str" cm="1">
        <f t="array" ref="J173:K173">_xlfn.TEXTSPLIT(H173, "[")</f>
        <v>MOX</v>
      </c>
      <c r="K173" t="str">
        <v>SA]</v>
      </c>
      <c r="L173" t="str" cm="1">
        <f t="array" ref="L173:M173">_xlfn.TEXTSPLIT(I173, "[")</f>
        <v>CFS</v>
      </c>
      <c r="M173" t="str">
        <v>SA]</v>
      </c>
      <c r="O173" t="str">
        <f t="shared" si="4"/>
        <v>SA</v>
      </c>
      <c r="P173" t="str">
        <f t="shared" si="5"/>
        <v>CFS-MOX</v>
      </c>
      <c r="Q173">
        <f>Table3[[#This Row],[Synergy.score]]</f>
        <v>0.312</v>
      </c>
      <c r="R173">
        <f>Table3[[#This Row],[Most.synergistic.area.score]]</f>
        <v>2.9630000000000001</v>
      </c>
    </row>
    <row r="174" spans="1:18" x14ac:dyDescent="0.35">
      <c r="A174" t="s">
        <v>179</v>
      </c>
      <c r="B174">
        <v>6.2850000000000001</v>
      </c>
      <c r="C174">
        <v>43.683999999999997</v>
      </c>
      <c r="D174" t="s">
        <v>7</v>
      </c>
      <c r="F174">
        <v>3.7570000000000001</v>
      </c>
      <c r="H174" t="str" cm="1">
        <f t="array" ref="H174:I174">_xlfn.TEXTSPLIT(Table3[[#This Row],[Drug.combination]], " - ")</f>
        <v>MOX[PS]</v>
      </c>
      <c r="I174" t="str">
        <v>CFS[PS]</v>
      </c>
      <c r="J174" t="str" cm="1">
        <f t="array" ref="J174:K174">_xlfn.TEXTSPLIT(H174, "[")</f>
        <v>MOX</v>
      </c>
      <c r="K174" t="str">
        <v>PS]</v>
      </c>
      <c r="L174" t="str" cm="1">
        <f t="array" ref="L174:M174">_xlfn.TEXTSPLIT(I174, "[")</f>
        <v>CFS</v>
      </c>
      <c r="M174" t="str">
        <v>PS]</v>
      </c>
      <c r="O174" t="str">
        <f t="shared" si="4"/>
        <v>PS</v>
      </c>
      <c r="P174" t="str">
        <f t="shared" si="5"/>
        <v>CFS-MOX</v>
      </c>
      <c r="Q174">
        <f>Table3[[#This Row],[Synergy.score]]</f>
        <v>6.2850000000000001</v>
      </c>
      <c r="R174">
        <f>Table3[[#This Row],[Most.synergistic.area.score]]</f>
        <v>43.683999999999997</v>
      </c>
    </row>
    <row r="175" spans="1:18" x14ac:dyDescent="0.35">
      <c r="A175" t="s">
        <v>180</v>
      </c>
      <c r="B175">
        <v>-8.2000000000000003E-2</v>
      </c>
      <c r="C175">
        <v>11.166</v>
      </c>
      <c r="D175" t="s">
        <v>7</v>
      </c>
      <c r="F175">
        <v>-0.04</v>
      </c>
      <c r="H175" t="str" cm="1">
        <f t="array" ref="H175:I175">_xlfn.TEXTSPLIT(Table3[[#This Row],[Drug.combination]], " - ")</f>
        <v>MOX[PS_MDR]</v>
      </c>
      <c r="I175" t="str">
        <v>CFS[PS_MDR]</v>
      </c>
      <c r="J175" t="str" cm="1">
        <f t="array" ref="J175:K175">_xlfn.TEXTSPLIT(H175, "[")</f>
        <v>MOX</v>
      </c>
      <c r="K175" t="str">
        <v>PS_MDR]</v>
      </c>
      <c r="L175" t="str" cm="1">
        <f t="array" ref="L175:M175">_xlfn.TEXTSPLIT(I175, "[")</f>
        <v>CFS</v>
      </c>
      <c r="M175" t="str">
        <v>PS_MDR]</v>
      </c>
      <c r="O175" t="str">
        <f t="shared" si="4"/>
        <v>PS_MDR</v>
      </c>
      <c r="P175" t="str">
        <f t="shared" si="5"/>
        <v>CFS-MOX</v>
      </c>
      <c r="Q175">
        <f>Table3[[#This Row],[Synergy.score]]</f>
        <v>-8.2000000000000003E-2</v>
      </c>
      <c r="R175">
        <f>Table3[[#This Row],[Most.synergistic.area.score]]</f>
        <v>11.166</v>
      </c>
    </row>
    <row r="176" spans="1:18" x14ac:dyDescent="0.35">
      <c r="A176" t="s">
        <v>181</v>
      </c>
      <c r="B176">
        <v>-4.5149999999999997</v>
      </c>
      <c r="C176">
        <v>18.079000000000001</v>
      </c>
      <c r="D176" t="s">
        <v>7</v>
      </c>
      <c r="F176">
        <v>-4.3689999999999998</v>
      </c>
      <c r="H176" t="str" cm="1">
        <f t="array" ref="H176:I176">_xlfn.TEXTSPLIT(Table3[[#This Row],[Drug.combination]], " - ")</f>
        <v>OXA[SE]</v>
      </c>
      <c r="I176" t="str">
        <v>CFZ[SE]</v>
      </c>
      <c r="J176" t="str" cm="1">
        <f t="array" ref="J176:K176">_xlfn.TEXTSPLIT(H176, "[")</f>
        <v>OXA</v>
      </c>
      <c r="K176" t="str">
        <v>SE]</v>
      </c>
      <c r="L176" t="str" cm="1">
        <f t="array" ref="L176:M176">_xlfn.TEXTSPLIT(I176, "[")</f>
        <v>CFZ</v>
      </c>
      <c r="M176" t="str">
        <v>SE]</v>
      </c>
      <c r="O176" t="str">
        <f t="shared" si="4"/>
        <v>SE</v>
      </c>
      <c r="P176" t="str">
        <f t="shared" si="5"/>
        <v>CFZ-OXA</v>
      </c>
      <c r="Q176">
        <f>Table3[[#This Row],[Synergy.score]]</f>
        <v>-4.5149999999999997</v>
      </c>
      <c r="R176">
        <f>Table3[[#This Row],[Most.synergistic.area.score]]</f>
        <v>18.079000000000001</v>
      </c>
    </row>
    <row r="177" spans="1:18" x14ac:dyDescent="0.35">
      <c r="A177" t="s">
        <v>182</v>
      </c>
      <c r="B177">
        <v>2.9380000000000002</v>
      </c>
      <c r="C177">
        <v>12.057</v>
      </c>
      <c r="D177" t="s">
        <v>7</v>
      </c>
      <c r="F177">
        <v>1.375</v>
      </c>
      <c r="H177" t="str" cm="1">
        <f t="array" ref="H177:I177">_xlfn.TEXTSPLIT(Table3[[#This Row],[Drug.combination]], " - ")</f>
        <v>OXA[SA]</v>
      </c>
      <c r="I177" t="str">
        <v>CFZ[SA]</v>
      </c>
      <c r="J177" t="str" cm="1">
        <f t="array" ref="J177:K177">_xlfn.TEXTSPLIT(H177, "[")</f>
        <v>OXA</v>
      </c>
      <c r="K177" t="str">
        <v>SA]</v>
      </c>
      <c r="L177" t="str" cm="1">
        <f t="array" ref="L177:M177">_xlfn.TEXTSPLIT(I177, "[")</f>
        <v>CFZ</v>
      </c>
      <c r="M177" t="str">
        <v>SA]</v>
      </c>
      <c r="O177" t="str">
        <f t="shared" si="4"/>
        <v>SA</v>
      </c>
      <c r="P177" t="str">
        <f t="shared" si="5"/>
        <v>CFZ-OXA</v>
      </c>
      <c r="Q177">
        <f>Table3[[#This Row],[Synergy.score]]</f>
        <v>2.9380000000000002</v>
      </c>
      <c r="R177">
        <f>Table3[[#This Row],[Most.synergistic.area.score]]</f>
        <v>12.057</v>
      </c>
    </row>
    <row r="178" spans="1:18" x14ac:dyDescent="0.35">
      <c r="A178" t="s">
        <v>183</v>
      </c>
      <c r="B178">
        <v>0.73499999999999999</v>
      </c>
      <c r="C178">
        <v>9.8620000000000001</v>
      </c>
      <c r="D178" t="s">
        <v>7</v>
      </c>
      <c r="F178">
        <v>0.25</v>
      </c>
      <c r="H178" t="str" cm="1">
        <f t="array" ref="H178:I178">_xlfn.TEXTSPLIT(Table3[[#This Row],[Drug.combination]], " - ")</f>
        <v>OXA[PS]</v>
      </c>
      <c r="I178" t="str">
        <v>CFZ[PS]</v>
      </c>
      <c r="J178" t="str" cm="1">
        <f t="array" ref="J178:K178">_xlfn.TEXTSPLIT(H178, "[")</f>
        <v>OXA</v>
      </c>
      <c r="K178" t="str">
        <v>PS]</v>
      </c>
      <c r="L178" t="str" cm="1">
        <f t="array" ref="L178:M178">_xlfn.TEXTSPLIT(I178, "[")</f>
        <v>CFZ</v>
      </c>
      <c r="M178" t="str">
        <v>PS]</v>
      </c>
      <c r="O178" t="str">
        <f t="shared" si="4"/>
        <v>PS</v>
      </c>
      <c r="P178" t="str">
        <f t="shared" si="5"/>
        <v>CFZ-OXA</v>
      </c>
      <c r="Q178">
        <f>Table3[[#This Row],[Synergy.score]]</f>
        <v>0.73499999999999999</v>
      </c>
      <c r="R178">
        <f>Table3[[#This Row],[Most.synergistic.area.score]]</f>
        <v>9.8620000000000001</v>
      </c>
    </row>
    <row r="179" spans="1:18" x14ac:dyDescent="0.35">
      <c r="A179" t="s">
        <v>184</v>
      </c>
      <c r="B179">
        <v>-2.052</v>
      </c>
      <c r="C179">
        <v>1.7370000000000001</v>
      </c>
      <c r="D179" t="s">
        <v>7</v>
      </c>
      <c r="F179">
        <v>-2.036</v>
      </c>
      <c r="H179" t="str" cm="1">
        <f t="array" ref="H179:I179">_xlfn.TEXTSPLIT(Table3[[#This Row],[Drug.combination]], " - ")</f>
        <v>OXA[PS_MDR]</v>
      </c>
      <c r="I179" t="str">
        <v>CFZ[PS_MDR]</v>
      </c>
      <c r="J179" t="str" cm="1">
        <f t="array" ref="J179:K179">_xlfn.TEXTSPLIT(H179, "[")</f>
        <v>OXA</v>
      </c>
      <c r="K179" t="str">
        <v>PS_MDR]</v>
      </c>
      <c r="L179" t="str" cm="1">
        <f t="array" ref="L179:M179">_xlfn.TEXTSPLIT(I179, "[")</f>
        <v>CFZ</v>
      </c>
      <c r="M179" t="str">
        <v>PS_MDR]</v>
      </c>
      <c r="O179" t="str">
        <f t="shared" si="4"/>
        <v>PS_MDR</v>
      </c>
      <c r="P179" t="str">
        <f t="shared" si="5"/>
        <v>CFZ-OXA</v>
      </c>
      <c r="Q179">
        <f>Table3[[#This Row],[Synergy.score]]</f>
        <v>-2.052</v>
      </c>
      <c r="R179">
        <f>Table3[[#This Row],[Most.synergistic.area.score]]</f>
        <v>1.7370000000000001</v>
      </c>
    </row>
    <row r="180" spans="1:18" x14ac:dyDescent="0.35">
      <c r="A180" t="s">
        <v>185</v>
      </c>
      <c r="B180">
        <v>-9.1869999999999994</v>
      </c>
      <c r="C180">
        <v>2.7719999999999998</v>
      </c>
      <c r="D180" t="s">
        <v>7</v>
      </c>
      <c r="F180">
        <v>-7.8010000000000002</v>
      </c>
      <c r="H180" t="str" cm="1">
        <f t="array" ref="H180:I180">_xlfn.TEXTSPLIT(Table3[[#This Row],[Drug.combination]], " - ")</f>
        <v>PMB[SE]</v>
      </c>
      <c r="I180" t="str">
        <v>CHL[SE]</v>
      </c>
      <c r="J180" t="str" cm="1">
        <f t="array" ref="J180:K180">_xlfn.TEXTSPLIT(H180, "[")</f>
        <v>PMB</v>
      </c>
      <c r="K180" t="str">
        <v>SE]</v>
      </c>
      <c r="L180" t="str" cm="1">
        <f t="array" ref="L180:M180">_xlfn.TEXTSPLIT(I180, "[")</f>
        <v>CHL</v>
      </c>
      <c r="M180" t="str">
        <v>SE]</v>
      </c>
      <c r="O180" t="str">
        <f t="shared" si="4"/>
        <v>SE</v>
      </c>
      <c r="P180" t="str">
        <f t="shared" si="5"/>
        <v>CHL-PMB</v>
      </c>
      <c r="Q180">
        <f>Table3[[#This Row],[Synergy.score]]</f>
        <v>-9.1869999999999994</v>
      </c>
      <c r="R180">
        <f>Table3[[#This Row],[Most.synergistic.area.score]]</f>
        <v>2.7719999999999998</v>
      </c>
    </row>
    <row r="181" spans="1:18" x14ac:dyDescent="0.35">
      <c r="A181" t="s">
        <v>186</v>
      </c>
      <c r="B181">
        <v>1.4259999999999999</v>
      </c>
      <c r="C181">
        <v>11.625999999999999</v>
      </c>
      <c r="D181" t="s">
        <v>7</v>
      </c>
      <c r="F181">
        <v>2.1469999999999998</v>
      </c>
      <c r="H181" t="str" cm="1">
        <f t="array" ref="H181:I181">_xlfn.TEXTSPLIT(Table3[[#This Row],[Drug.combination]], " - ")</f>
        <v>PMB[SA]</v>
      </c>
      <c r="I181" t="str">
        <v>CHL[SA]</v>
      </c>
      <c r="J181" t="str" cm="1">
        <f t="array" ref="J181:K181">_xlfn.TEXTSPLIT(H181, "[")</f>
        <v>PMB</v>
      </c>
      <c r="K181" t="str">
        <v>SA]</v>
      </c>
      <c r="L181" t="str" cm="1">
        <f t="array" ref="L181:M181">_xlfn.TEXTSPLIT(I181, "[")</f>
        <v>CHL</v>
      </c>
      <c r="M181" t="str">
        <v>SA]</v>
      </c>
      <c r="O181" t="str">
        <f t="shared" si="4"/>
        <v>SA</v>
      </c>
      <c r="P181" t="str">
        <f t="shared" si="5"/>
        <v>CHL-PMB</v>
      </c>
      <c r="Q181">
        <f>Table3[[#This Row],[Synergy.score]]</f>
        <v>1.4259999999999999</v>
      </c>
      <c r="R181">
        <f>Table3[[#This Row],[Most.synergistic.area.score]]</f>
        <v>11.625999999999999</v>
      </c>
    </row>
    <row r="182" spans="1:18" x14ac:dyDescent="0.35">
      <c r="A182" t="s">
        <v>187</v>
      </c>
      <c r="B182">
        <v>-10.718999999999999</v>
      </c>
      <c r="C182">
        <v>-0.25800000000000001</v>
      </c>
      <c r="D182" t="s">
        <v>7</v>
      </c>
      <c r="F182">
        <v>-4.335</v>
      </c>
      <c r="H182" t="str" cm="1">
        <f t="array" ref="H182:I182">_xlfn.TEXTSPLIT(Table3[[#This Row],[Drug.combination]], " - ")</f>
        <v>PMB[PS]</v>
      </c>
      <c r="I182" t="str">
        <v>CHL[PS]</v>
      </c>
      <c r="J182" t="str" cm="1">
        <f t="array" ref="J182:K182">_xlfn.TEXTSPLIT(H182, "[")</f>
        <v>PMB</v>
      </c>
      <c r="K182" t="str">
        <v>PS]</v>
      </c>
      <c r="L182" t="str" cm="1">
        <f t="array" ref="L182:M182">_xlfn.TEXTSPLIT(I182, "[")</f>
        <v>CHL</v>
      </c>
      <c r="M182" t="str">
        <v>PS]</v>
      </c>
      <c r="O182" t="str">
        <f t="shared" si="4"/>
        <v>PS</v>
      </c>
      <c r="P182" t="str">
        <f t="shared" si="5"/>
        <v>CHL-PMB</v>
      </c>
      <c r="Q182">
        <f>Table3[[#This Row],[Synergy.score]]</f>
        <v>-10.718999999999999</v>
      </c>
      <c r="R182">
        <f>Table3[[#This Row],[Most.synergistic.area.score]]</f>
        <v>-0.25800000000000001</v>
      </c>
    </row>
    <row r="183" spans="1:18" x14ac:dyDescent="0.35">
      <c r="A183" t="s">
        <v>188</v>
      </c>
      <c r="B183">
        <v>-3.9540000000000002</v>
      </c>
      <c r="C183">
        <v>1.921</v>
      </c>
      <c r="D183" t="s">
        <v>7</v>
      </c>
      <c r="F183">
        <v>-1.0109999999999999</v>
      </c>
      <c r="H183" t="str" cm="1">
        <f t="array" ref="H183:I183">_xlfn.TEXTSPLIT(Table3[[#This Row],[Drug.combination]], " - ")</f>
        <v>PMB[PS_MDR]</v>
      </c>
      <c r="I183" t="str">
        <v>CHL[PS_MDR]</v>
      </c>
      <c r="J183" t="str" cm="1">
        <f t="array" ref="J183:K183">_xlfn.TEXTSPLIT(H183, "[")</f>
        <v>PMB</v>
      </c>
      <c r="K183" t="str">
        <v>PS_MDR]</v>
      </c>
      <c r="L183" t="str" cm="1">
        <f t="array" ref="L183:M183">_xlfn.TEXTSPLIT(I183, "[")</f>
        <v>CHL</v>
      </c>
      <c r="M183" t="str">
        <v>PS_MDR]</v>
      </c>
      <c r="O183" t="str">
        <f t="shared" si="4"/>
        <v>PS_MDR</v>
      </c>
      <c r="P183" t="str">
        <f t="shared" si="5"/>
        <v>CHL-PMB</v>
      </c>
      <c r="Q183">
        <f>Table3[[#This Row],[Synergy.score]]</f>
        <v>-3.9540000000000002</v>
      </c>
      <c r="R183">
        <f>Table3[[#This Row],[Most.synergistic.area.score]]</f>
        <v>1.921</v>
      </c>
    </row>
    <row r="184" spans="1:18" x14ac:dyDescent="0.35">
      <c r="A184" t="s">
        <v>189</v>
      </c>
      <c r="B184">
        <v>-6.5019999999999998</v>
      </c>
      <c r="C184">
        <v>2.65</v>
      </c>
      <c r="D184" t="s">
        <v>7</v>
      </c>
      <c r="F184">
        <v>-5.7130000000000001</v>
      </c>
      <c r="H184" t="str" cm="1">
        <f t="array" ref="H184:I184">_xlfn.TEXTSPLIT(Table3[[#This Row],[Drug.combination]], " - ")</f>
        <v>OFL[SE]</v>
      </c>
      <c r="I184" t="str">
        <v>CSD[SE]</v>
      </c>
      <c r="J184" t="str" cm="1">
        <f t="array" ref="J184:K184">_xlfn.TEXTSPLIT(H184, "[")</f>
        <v>OFL</v>
      </c>
      <c r="K184" t="str">
        <v>SE]</v>
      </c>
      <c r="L184" t="str" cm="1">
        <f t="array" ref="L184:M184">_xlfn.TEXTSPLIT(I184, "[")</f>
        <v>CSD</v>
      </c>
      <c r="M184" t="str">
        <v>SE]</v>
      </c>
      <c r="O184" t="str">
        <f t="shared" si="4"/>
        <v>SE</v>
      </c>
      <c r="P184" t="str">
        <f t="shared" si="5"/>
        <v>CSD-OFL</v>
      </c>
      <c r="Q184">
        <f>Table3[[#This Row],[Synergy.score]]</f>
        <v>-6.5019999999999998</v>
      </c>
      <c r="R184">
        <f>Table3[[#This Row],[Most.synergistic.area.score]]</f>
        <v>2.65</v>
      </c>
    </row>
    <row r="185" spans="1:18" x14ac:dyDescent="0.35">
      <c r="A185" t="s">
        <v>190</v>
      </c>
      <c r="B185">
        <v>5.8739999999999997</v>
      </c>
      <c r="C185">
        <v>24.687999999999999</v>
      </c>
      <c r="D185" t="s">
        <v>7</v>
      </c>
      <c r="F185">
        <v>2.2549999999999999</v>
      </c>
      <c r="H185" t="str" cm="1">
        <f t="array" ref="H185:I185">_xlfn.TEXTSPLIT(Table3[[#This Row],[Drug.combination]], " - ")</f>
        <v>OFL[SA]</v>
      </c>
      <c r="I185" t="str">
        <v>CSD[SA]</v>
      </c>
      <c r="J185" t="str" cm="1">
        <f t="array" ref="J185:K185">_xlfn.TEXTSPLIT(H185, "[")</f>
        <v>OFL</v>
      </c>
      <c r="K185" t="str">
        <v>SA]</v>
      </c>
      <c r="L185" t="str" cm="1">
        <f t="array" ref="L185:M185">_xlfn.TEXTSPLIT(I185, "[")</f>
        <v>CSD</v>
      </c>
      <c r="M185" t="str">
        <v>SA]</v>
      </c>
      <c r="O185" t="str">
        <f t="shared" si="4"/>
        <v>SA</v>
      </c>
      <c r="P185" t="str">
        <f t="shared" si="5"/>
        <v>CSD-OFL</v>
      </c>
      <c r="Q185">
        <f>Table3[[#This Row],[Synergy.score]]</f>
        <v>5.8739999999999997</v>
      </c>
      <c r="R185">
        <f>Table3[[#This Row],[Most.synergistic.area.score]]</f>
        <v>24.687999999999999</v>
      </c>
    </row>
    <row r="186" spans="1:18" x14ac:dyDescent="0.35">
      <c r="A186" t="s">
        <v>191</v>
      </c>
      <c r="B186">
        <v>-3.7440000000000002</v>
      </c>
      <c r="C186">
        <v>0.877</v>
      </c>
      <c r="D186" t="s">
        <v>7</v>
      </c>
      <c r="F186">
        <v>-3.1160000000000001</v>
      </c>
      <c r="H186" t="str" cm="1">
        <f t="array" ref="H186:I186">_xlfn.TEXTSPLIT(Table3[[#This Row],[Drug.combination]], " - ")</f>
        <v>OFL[PS]</v>
      </c>
      <c r="I186" t="str">
        <v>CSD[PS]</v>
      </c>
      <c r="J186" t="str" cm="1">
        <f t="array" ref="J186:K186">_xlfn.TEXTSPLIT(H186, "[")</f>
        <v>OFL</v>
      </c>
      <c r="K186" t="str">
        <v>PS]</v>
      </c>
      <c r="L186" t="str" cm="1">
        <f t="array" ref="L186:M186">_xlfn.TEXTSPLIT(I186, "[")</f>
        <v>CSD</v>
      </c>
      <c r="M186" t="str">
        <v>PS]</v>
      </c>
      <c r="O186" t="str">
        <f t="shared" si="4"/>
        <v>PS</v>
      </c>
      <c r="P186" t="str">
        <f t="shared" si="5"/>
        <v>CSD-OFL</v>
      </c>
      <c r="Q186">
        <f>Table3[[#This Row],[Synergy.score]]</f>
        <v>-3.7440000000000002</v>
      </c>
      <c r="R186">
        <f>Table3[[#This Row],[Most.synergistic.area.score]]</f>
        <v>0.877</v>
      </c>
    </row>
    <row r="187" spans="1:18" x14ac:dyDescent="0.35">
      <c r="A187" t="s">
        <v>192</v>
      </c>
      <c r="B187">
        <v>-1.4339999999999999</v>
      </c>
      <c r="C187">
        <v>7.1040000000000001</v>
      </c>
      <c r="D187" t="s">
        <v>7</v>
      </c>
      <c r="F187">
        <v>-1.403</v>
      </c>
      <c r="H187" t="str" cm="1">
        <f t="array" ref="H187:I187">_xlfn.TEXTSPLIT(Table3[[#This Row],[Drug.combination]], " - ")</f>
        <v>OFL[PS_MDR]</v>
      </c>
      <c r="I187" t="str">
        <v>CSD[PS_MDR]</v>
      </c>
      <c r="J187" t="str" cm="1">
        <f t="array" ref="J187:K187">_xlfn.TEXTSPLIT(H187, "[")</f>
        <v>OFL</v>
      </c>
      <c r="K187" t="str">
        <v>PS_MDR]</v>
      </c>
      <c r="L187" t="str" cm="1">
        <f t="array" ref="L187:M187">_xlfn.TEXTSPLIT(I187, "[")</f>
        <v>CSD</v>
      </c>
      <c r="M187" t="str">
        <v>PS_MDR]</v>
      </c>
      <c r="O187" t="str">
        <f t="shared" si="4"/>
        <v>PS_MDR</v>
      </c>
      <c r="P187" t="str">
        <f t="shared" si="5"/>
        <v>CSD-OFL</v>
      </c>
      <c r="Q187">
        <f>Table3[[#This Row],[Synergy.score]]</f>
        <v>-1.4339999999999999</v>
      </c>
      <c r="R187">
        <f>Table3[[#This Row],[Most.synergistic.area.score]]</f>
        <v>7.1040000000000001</v>
      </c>
    </row>
    <row r="188" spans="1:18" x14ac:dyDescent="0.35">
      <c r="A188" t="s">
        <v>193</v>
      </c>
      <c r="B188">
        <v>-5.5590000000000002</v>
      </c>
      <c r="C188">
        <v>1.2549999999999999</v>
      </c>
      <c r="D188" t="s">
        <v>7</v>
      </c>
      <c r="F188">
        <v>-5.2640000000000002</v>
      </c>
      <c r="H188" t="str" cm="1">
        <f t="array" ref="H188:I188">_xlfn.TEXTSPLIT(Table3[[#This Row],[Drug.combination]], " - ")</f>
        <v>TPH[PS_ATCC]</v>
      </c>
      <c r="I188" t="str">
        <v>FUS[PS_ATCC]</v>
      </c>
      <c r="J188" t="str" cm="1">
        <f t="array" ref="J188:K188">_xlfn.TEXTSPLIT(H188, "[")</f>
        <v>TPH</v>
      </c>
      <c r="K188" t="str">
        <v>PS_ATCC]</v>
      </c>
      <c r="L188" t="str" cm="1">
        <f t="array" ref="L188:M188">_xlfn.TEXTSPLIT(I188, "[")</f>
        <v>FUS</v>
      </c>
      <c r="M188" t="str">
        <v>PS_ATCC]</v>
      </c>
      <c r="O188" t="str">
        <f t="shared" si="4"/>
        <v>PS_ATCC</v>
      </c>
      <c r="P188" t="str">
        <f t="shared" si="5"/>
        <v>FUS-TPH</v>
      </c>
      <c r="Q188">
        <f>Table3[[#This Row],[Synergy.score]]</f>
        <v>-5.5590000000000002</v>
      </c>
      <c r="R188">
        <f>Table3[[#This Row],[Most.synergistic.area.score]]</f>
        <v>1.2549999999999999</v>
      </c>
    </row>
    <row r="189" spans="1:18" x14ac:dyDescent="0.35">
      <c r="A189" t="s">
        <v>194</v>
      </c>
      <c r="B189">
        <v>-0.19400000000000001</v>
      </c>
      <c r="C189">
        <v>2.2189999999999999</v>
      </c>
      <c r="D189" t="s">
        <v>7</v>
      </c>
      <c r="F189">
        <v>-0.16</v>
      </c>
      <c r="H189" t="str" cm="1">
        <f t="array" ref="H189:I189">_xlfn.TEXTSPLIT(Table3[[#This Row],[Drug.combination]], " - ")</f>
        <v>TPH[SE]</v>
      </c>
      <c r="I189" t="str">
        <v>FUS[SE]</v>
      </c>
      <c r="J189" t="str" cm="1">
        <f t="array" ref="J189:K189">_xlfn.TEXTSPLIT(H189, "[")</f>
        <v>TPH</v>
      </c>
      <c r="K189" t="str">
        <v>SE]</v>
      </c>
      <c r="L189" t="str" cm="1">
        <f t="array" ref="L189:M189">_xlfn.TEXTSPLIT(I189, "[")</f>
        <v>FUS</v>
      </c>
      <c r="M189" t="str">
        <v>SE]</v>
      </c>
      <c r="O189" t="str">
        <f t="shared" si="4"/>
        <v>SE</v>
      </c>
      <c r="P189" t="str">
        <f t="shared" si="5"/>
        <v>FUS-TPH</v>
      </c>
      <c r="Q189">
        <f>Table3[[#This Row],[Synergy.score]]</f>
        <v>-0.19400000000000001</v>
      </c>
      <c r="R189">
        <f>Table3[[#This Row],[Most.synergistic.area.score]]</f>
        <v>2.2189999999999999</v>
      </c>
    </row>
    <row r="190" spans="1:18" x14ac:dyDescent="0.35">
      <c r="A190" t="s">
        <v>195</v>
      </c>
      <c r="B190">
        <v>-0.55900000000000005</v>
      </c>
      <c r="C190">
        <v>0.876</v>
      </c>
      <c r="D190" t="s">
        <v>7</v>
      </c>
      <c r="F190">
        <v>-0.315</v>
      </c>
      <c r="H190" t="str" cm="1">
        <f t="array" ref="H190:I190">_xlfn.TEXTSPLIT(Table3[[#This Row],[Drug.combination]], " - ")</f>
        <v>TPH[SA]</v>
      </c>
      <c r="I190" t="str">
        <v>FUS[SA]</v>
      </c>
      <c r="J190" t="str" cm="1">
        <f t="array" ref="J190:K190">_xlfn.TEXTSPLIT(H190, "[")</f>
        <v>TPH</v>
      </c>
      <c r="K190" t="str">
        <v>SA]</v>
      </c>
      <c r="L190" t="str" cm="1">
        <f t="array" ref="L190:M190">_xlfn.TEXTSPLIT(I190, "[")</f>
        <v>FUS</v>
      </c>
      <c r="M190" t="str">
        <v>SA]</v>
      </c>
      <c r="O190" t="str">
        <f t="shared" si="4"/>
        <v>SA</v>
      </c>
      <c r="P190" t="str">
        <f t="shared" si="5"/>
        <v>FUS-TPH</v>
      </c>
      <c r="Q190">
        <f>Table3[[#This Row],[Synergy.score]]</f>
        <v>-0.55900000000000005</v>
      </c>
      <c r="R190">
        <f>Table3[[#This Row],[Most.synergistic.area.score]]</f>
        <v>0.876</v>
      </c>
    </row>
    <row r="191" spans="1:18" x14ac:dyDescent="0.35">
      <c r="A191" t="s">
        <v>196</v>
      </c>
      <c r="B191">
        <v>-0.73199999999999998</v>
      </c>
      <c r="C191">
        <v>2.4820000000000002</v>
      </c>
      <c r="D191" t="s">
        <v>7</v>
      </c>
      <c r="F191">
        <v>-0.73499999999999999</v>
      </c>
      <c r="H191" t="str" cm="1">
        <f t="array" ref="H191:I191">_xlfn.TEXTSPLIT(Table3[[#This Row],[Drug.combination]], " - ")</f>
        <v>TPH[PS]</v>
      </c>
      <c r="I191" t="str">
        <v>FUS[PS]</v>
      </c>
      <c r="J191" t="str" cm="1">
        <f t="array" ref="J191:K191">_xlfn.TEXTSPLIT(H191, "[")</f>
        <v>TPH</v>
      </c>
      <c r="K191" t="str">
        <v>PS]</v>
      </c>
      <c r="L191" t="str" cm="1">
        <f t="array" ref="L191:M191">_xlfn.TEXTSPLIT(I191, "[")</f>
        <v>FUS</v>
      </c>
      <c r="M191" t="str">
        <v>PS]</v>
      </c>
      <c r="O191" t="str">
        <f t="shared" si="4"/>
        <v>PS</v>
      </c>
      <c r="P191" t="str">
        <f t="shared" si="5"/>
        <v>FUS-TPH</v>
      </c>
      <c r="Q191">
        <f>Table3[[#This Row],[Synergy.score]]</f>
        <v>-0.73199999999999998</v>
      </c>
      <c r="R191">
        <f>Table3[[#This Row],[Most.synergistic.area.score]]</f>
        <v>2.4820000000000002</v>
      </c>
    </row>
    <row r="192" spans="1:18" x14ac:dyDescent="0.35">
      <c r="A192" t="s">
        <v>197</v>
      </c>
      <c r="B192">
        <v>-0.86299999999999999</v>
      </c>
      <c r="C192">
        <v>2.1579999999999999</v>
      </c>
      <c r="D192" t="s">
        <v>7</v>
      </c>
      <c r="F192">
        <v>-0.84699999999999998</v>
      </c>
      <c r="H192" t="str" cm="1">
        <f t="array" ref="H192:I192">_xlfn.TEXTSPLIT(Table3[[#This Row],[Drug.combination]], " - ")</f>
        <v>TPH[PS_MDR]</v>
      </c>
      <c r="I192" t="str">
        <v>FUS[PS_MDR]</v>
      </c>
      <c r="J192" t="str" cm="1">
        <f t="array" ref="J192:K192">_xlfn.TEXTSPLIT(H192, "[")</f>
        <v>TPH</v>
      </c>
      <c r="K192" t="str">
        <v>PS_MDR]</v>
      </c>
      <c r="L192" t="str" cm="1">
        <f t="array" ref="L192:M192">_xlfn.TEXTSPLIT(I192, "[")</f>
        <v>FUS</v>
      </c>
      <c r="M192" t="str">
        <v>PS_MDR]</v>
      </c>
      <c r="O192" t="str">
        <f t="shared" si="4"/>
        <v>PS_MDR</v>
      </c>
      <c r="P192" t="str">
        <f t="shared" si="5"/>
        <v>FUS-TPH</v>
      </c>
      <c r="Q192">
        <f>Table3[[#This Row],[Synergy.score]]</f>
        <v>-0.86299999999999999</v>
      </c>
      <c r="R192">
        <f>Table3[[#This Row],[Most.synergistic.area.score]]</f>
        <v>2.1579999999999999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Lex Kim</cp:lastModifiedBy>
  <dcterms:created xsi:type="dcterms:W3CDTF">2014-03-07T16:08:25Z</dcterms:created>
  <dcterms:modified xsi:type="dcterms:W3CDTF">2025-02-20T19:39:45Z</dcterms:modified>
</cp:coreProperties>
</file>