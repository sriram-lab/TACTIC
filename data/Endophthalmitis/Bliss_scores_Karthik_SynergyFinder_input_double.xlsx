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carol\github\TACTIC\data\"/>
    </mc:Choice>
  </mc:AlternateContent>
  <xr:revisionPtr revIDLastSave="0" documentId="13_ncr:1_{3614194B-6EB9-4F1D-854A-642E114A90DE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P3" i="1"/>
  <c r="Q3" i="1"/>
  <c r="O4" i="1"/>
  <c r="P4" i="1"/>
  <c r="Q4" i="1"/>
  <c r="O5" i="1"/>
  <c r="P5" i="1"/>
  <c r="Q5" i="1"/>
  <c r="O6" i="1"/>
  <c r="P6" i="1"/>
  <c r="Q6" i="1"/>
  <c r="O7" i="1"/>
  <c r="P7" i="1"/>
  <c r="Q7" i="1"/>
  <c r="O8" i="1"/>
  <c r="P8" i="1"/>
  <c r="Q8" i="1"/>
  <c r="O9" i="1"/>
  <c r="P9" i="1"/>
  <c r="Q9" i="1"/>
  <c r="O10" i="1"/>
  <c r="P10" i="1"/>
  <c r="Q10" i="1"/>
  <c r="O11" i="1"/>
  <c r="P11" i="1"/>
  <c r="Q11" i="1"/>
  <c r="O12" i="1"/>
  <c r="P12" i="1"/>
  <c r="Q12" i="1"/>
  <c r="O13" i="1"/>
  <c r="P13" i="1"/>
  <c r="Q13" i="1"/>
  <c r="O14" i="1"/>
  <c r="P14" i="1"/>
  <c r="Q14" i="1"/>
  <c r="O15" i="1"/>
  <c r="P15" i="1"/>
  <c r="Q15" i="1"/>
  <c r="O16" i="1"/>
  <c r="P16" i="1"/>
  <c r="Q16" i="1"/>
  <c r="O17" i="1"/>
  <c r="P17" i="1"/>
  <c r="Q17" i="1"/>
  <c r="O18" i="1"/>
  <c r="P18" i="1"/>
  <c r="Q18" i="1"/>
  <c r="O19" i="1"/>
  <c r="P19" i="1"/>
  <c r="Q19" i="1"/>
  <c r="O20" i="1"/>
  <c r="P20" i="1"/>
  <c r="Q20" i="1"/>
  <c r="O21" i="1"/>
  <c r="P21" i="1"/>
  <c r="Q21" i="1"/>
  <c r="O22" i="1"/>
  <c r="P22" i="1"/>
  <c r="Q22" i="1"/>
  <c r="O23" i="1"/>
  <c r="P23" i="1"/>
  <c r="Q23" i="1"/>
  <c r="O24" i="1"/>
  <c r="P24" i="1"/>
  <c r="Q24" i="1"/>
  <c r="O25" i="1"/>
  <c r="P25" i="1"/>
  <c r="Q25" i="1"/>
  <c r="O26" i="1"/>
  <c r="P26" i="1"/>
  <c r="Q26" i="1"/>
  <c r="O27" i="1"/>
  <c r="P27" i="1"/>
  <c r="Q27" i="1"/>
  <c r="O28" i="1"/>
  <c r="P28" i="1"/>
  <c r="Q28" i="1"/>
  <c r="O29" i="1"/>
  <c r="P29" i="1"/>
  <c r="Q29" i="1"/>
  <c r="O30" i="1"/>
  <c r="P30" i="1"/>
  <c r="Q30" i="1"/>
  <c r="O31" i="1"/>
  <c r="P31" i="1"/>
  <c r="Q31" i="1"/>
  <c r="O32" i="1"/>
  <c r="P32" i="1"/>
  <c r="Q32" i="1"/>
  <c r="O33" i="1"/>
  <c r="P33" i="1"/>
  <c r="Q33" i="1"/>
  <c r="O34" i="1"/>
  <c r="P34" i="1"/>
  <c r="Q34" i="1"/>
  <c r="O35" i="1"/>
  <c r="P35" i="1"/>
  <c r="Q35" i="1"/>
  <c r="O36" i="1"/>
  <c r="P36" i="1"/>
  <c r="Q36" i="1"/>
  <c r="O37" i="1"/>
  <c r="P37" i="1"/>
  <c r="Q37" i="1"/>
  <c r="H3" i="1" a="1"/>
  <c r="H3" i="1" s="1"/>
  <c r="J3" i="1" s="1" a="1"/>
  <c r="J3" i="1" s="1"/>
  <c r="H4" i="1" a="1"/>
  <c r="L4" i="1" s="1" a="1"/>
  <c r="L4" i="1" s="1"/>
  <c r="H4" i="1"/>
  <c r="J4" i="1" s="1" a="1"/>
  <c r="J4" i="1" s="1"/>
  <c r="H5" i="1" a="1"/>
  <c r="L5" i="1" s="1" a="1"/>
  <c r="L5" i="1" s="1"/>
  <c r="H6" i="1" a="1"/>
  <c r="H6" i="1" s="1"/>
  <c r="J6" i="1" s="1" a="1"/>
  <c r="J6" i="1" s="1"/>
  <c r="H7" i="1" a="1"/>
  <c r="H7" i="1" s="1"/>
  <c r="J7" i="1" s="1" a="1"/>
  <c r="J7" i="1" s="1"/>
  <c r="H8" i="1" a="1"/>
  <c r="H8" i="1"/>
  <c r="J8" i="1" s="1" a="1"/>
  <c r="J8" i="1" s="1"/>
  <c r="L8" i="1" a="1"/>
  <c r="L8" i="1" s="1"/>
  <c r="H9" i="1" a="1"/>
  <c r="L9" i="1" s="1" a="1"/>
  <c r="L9" i="1" s="1"/>
  <c r="H10" i="1" a="1"/>
  <c r="H10" i="1" s="1"/>
  <c r="J10" i="1" s="1" a="1"/>
  <c r="J10" i="1" s="1"/>
  <c r="H11" i="1" a="1"/>
  <c r="H11" i="1" s="1"/>
  <c r="J11" i="1" s="1" a="1"/>
  <c r="J11" i="1" s="1"/>
  <c r="L11" i="1" a="1"/>
  <c r="L11" i="1" s="1"/>
  <c r="H12" i="1" a="1"/>
  <c r="H12" i="1"/>
  <c r="J12" i="1" s="1" a="1"/>
  <c r="J12" i="1" s="1"/>
  <c r="L12" i="1" a="1"/>
  <c r="L12" i="1" s="1"/>
  <c r="H13" i="1" a="1"/>
  <c r="L13" i="1" s="1" a="1"/>
  <c r="L13" i="1" s="1"/>
  <c r="H14" i="1" a="1"/>
  <c r="H14" i="1" s="1"/>
  <c r="J14" i="1" s="1" a="1"/>
  <c r="J14" i="1" s="1"/>
  <c r="H15" i="1" a="1"/>
  <c r="H15" i="1" s="1"/>
  <c r="J15" i="1" s="1" a="1"/>
  <c r="J15" i="1" s="1"/>
  <c r="L15" i="1" a="1"/>
  <c r="L15" i="1" s="1"/>
  <c r="H16" i="1" a="1"/>
  <c r="H16" i="1"/>
  <c r="J16" i="1" s="1" a="1"/>
  <c r="J16" i="1" s="1"/>
  <c r="L16" i="1" a="1"/>
  <c r="L16" i="1" s="1"/>
  <c r="H17" i="1" a="1"/>
  <c r="L17" i="1" s="1" a="1"/>
  <c r="L17" i="1" s="1"/>
  <c r="H18" i="1" a="1"/>
  <c r="H18" i="1" s="1"/>
  <c r="J18" i="1" s="1" a="1"/>
  <c r="J18" i="1" s="1"/>
  <c r="H19" i="1" a="1"/>
  <c r="H19" i="1" s="1"/>
  <c r="J19" i="1" s="1" a="1"/>
  <c r="J19" i="1" s="1"/>
  <c r="L19" i="1" a="1"/>
  <c r="L19" i="1" s="1"/>
  <c r="H20" i="1" a="1"/>
  <c r="H20" i="1"/>
  <c r="J20" i="1" s="1" a="1"/>
  <c r="J20" i="1" s="1"/>
  <c r="L20" i="1" a="1"/>
  <c r="L20" i="1" s="1"/>
  <c r="H21" i="1" a="1"/>
  <c r="H21" i="1" s="1"/>
  <c r="J21" i="1" s="1" a="1"/>
  <c r="J21" i="1" s="1"/>
  <c r="L21" i="1" a="1"/>
  <c r="L21" i="1" s="1"/>
  <c r="H22" i="1" a="1"/>
  <c r="H22" i="1" s="1"/>
  <c r="J22" i="1" s="1" a="1"/>
  <c r="J22" i="1" s="1"/>
  <c r="H23" i="1" a="1"/>
  <c r="H23" i="1" s="1"/>
  <c r="J23" i="1" s="1" a="1"/>
  <c r="J23" i="1" s="1"/>
  <c r="H24" i="1" a="1"/>
  <c r="H24" i="1"/>
  <c r="J24" i="1" a="1"/>
  <c r="J24" i="1" s="1"/>
  <c r="L24" i="1" a="1"/>
  <c r="L24" i="1" s="1"/>
  <c r="H25" i="1" a="1"/>
  <c r="H25" i="1" s="1"/>
  <c r="J25" i="1" s="1" a="1"/>
  <c r="J25" i="1" s="1"/>
  <c r="L25" i="1" a="1"/>
  <c r="L25" i="1" s="1"/>
  <c r="H26" i="1" a="1"/>
  <c r="H26" i="1" s="1"/>
  <c r="J26" i="1" s="1" a="1"/>
  <c r="J26" i="1" s="1"/>
  <c r="H27" i="1" a="1"/>
  <c r="H27" i="1" s="1"/>
  <c r="J27" i="1" s="1" a="1"/>
  <c r="J27" i="1" s="1"/>
  <c r="H28" i="1" a="1"/>
  <c r="H28" i="1"/>
  <c r="J28" i="1" a="1"/>
  <c r="J28" i="1" s="1"/>
  <c r="L28" i="1" a="1"/>
  <c r="L28" i="1" s="1"/>
  <c r="H29" i="1" a="1"/>
  <c r="H29" i="1" s="1"/>
  <c r="J29" i="1" s="1" a="1"/>
  <c r="J29" i="1" s="1"/>
  <c r="L29" i="1" a="1"/>
  <c r="L29" i="1" s="1"/>
  <c r="H30" i="1" a="1"/>
  <c r="H30" i="1" s="1"/>
  <c r="J30" i="1" s="1" a="1"/>
  <c r="J30" i="1" s="1"/>
  <c r="H31" i="1" a="1"/>
  <c r="H31" i="1" s="1"/>
  <c r="J31" i="1" s="1" a="1"/>
  <c r="J31" i="1" s="1"/>
  <c r="H32" i="1" a="1"/>
  <c r="H32" i="1"/>
  <c r="J32" i="1" a="1"/>
  <c r="J32" i="1" s="1"/>
  <c r="L32" i="1" a="1"/>
  <c r="L32" i="1" s="1"/>
  <c r="H33" i="1" a="1"/>
  <c r="H33" i="1" s="1"/>
  <c r="J33" i="1" s="1" a="1"/>
  <c r="J33" i="1" s="1"/>
  <c r="L33" i="1" a="1"/>
  <c r="L33" i="1" s="1"/>
  <c r="H34" i="1" a="1"/>
  <c r="H34" i="1" s="1"/>
  <c r="J34" i="1" s="1" a="1"/>
  <c r="J34" i="1" s="1"/>
  <c r="H35" i="1" a="1"/>
  <c r="H35" i="1" s="1"/>
  <c r="J35" i="1" s="1" a="1"/>
  <c r="J35" i="1" s="1"/>
  <c r="H36" i="1" a="1"/>
  <c r="H36" i="1"/>
  <c r="J36" i="1" a="1"/>
  <c r="J36" i="1" s="1"/>
  <c r="L36" i="1" a="1"/>
  <c r="L36" i="1" s="1"/>
  <c r="H37" i="1" a="1"/>
  <c r="H37" i="1" s="1"/>
  <c r="J37" i="1" s="1" a="1"/>
  <c r="J37" i="1" s="1"/>
  <c r="L37" i="1" a="1"/>
  <c r="L37" i="1" s="1"/>
  <c r="Q2" i="1"/>
  <c r="P2" i="1"/>
  <c r="O2" i="1"/>
  <c r="L2" i="1" a="1"/>
  <c r="L2" i="1" s="1"/>
  <c r="J2" i="1" a="1"/>
  <c r="J2" i="1" s="1"/>
  <c r="H2" i="1" a="1"/>
  <c r="H2" i="1" s="1"/>
  <c r="L34" i="1" l="1" a="1"/>
  <c r="L34" i="1" s="1"/>
  <c r="L30" i="1" a="1"/>
  <c r="L30" i="1" s="1"/>
  <c r="L22" i="1" a="1"/>
  <c r="L22" i="1" s="1"/>
  <c r="L26" i="1" a="1"/>
  <c r="L26" i="1" s="1"/>
  <c r="L18" i="1" a="1"/>
  <c r="L18" i="1" s="1"/>
  <c r="L14" i="1" a="1"/>
  <c r="L14" i="1" s="1"/>
  <c r="L10" i="1" a="1"/>
  <c r="L10" i="1" s="1"/>
  <c r="L6" i="1" a="1"/>
  <c r="L6" i="1" s="1"/>
  <c r="H17" i="1"/>
  <c r="J17" i="1" s="1" a="1"/>
  <c r="J17" i="1" s="1"/>
  <c r="H13" i="1"/>
  <c r="J13" i="1" s="1" a="1"/>
  <c r="J13" i="1" s="1"/>
  <c r="H9" i="1"/>
  <c r="J9" i="1" s="1" a="1"/>
  <c r="J9" i="1" s="1"/>
  <c r="H5" i="1"/>
  <c r="J5" i="1" s="1" a="1"/>
  <c r="J5" i="1" s="1"/>
  <c r="L35" i="1" a="1"/>
  <c r="L35" i="1" s="1"/>
  <c r="L31" i="1" a="1"/>
  <c r="L31" i="1" s="1"/>
  <c r="L27" i="1" a="1"/>
  <c r="L27" i="1" s="1"/>
  <c r="L23" i="1" a="1"/>
  <c r="L23" i="1" s="1"/>
  <c r="L7" i="1" a="1"/>
  <c r="L7" i="1" s="1"/>
  <c r="L3" i="1" a="1"/>
  <c r="L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<sst xmlns="http://schemas.openxmlformats.org/spreadsheetml/2006/main" count="78" uniqueCount="43">
  <si>
    <t>Drug.combination</t>
  </si>
  <si>
    <t>Synergy.score</t>
  </si>
  <si>
    <t>Most.synergistic.area.score</t>
  </si>
  <si>
    <t>Method</t>
  </si>
  <si>
    <t>95% CI</t>
  </si>
  <si>
    <t>Weighted.Synergy.score</t>
  </si>
  <si>
    <t>FOS[SA] - DXR[SA]</t>
  </si>
  <si>
    <t>Bliss</t>
  </si>
  <si>
    <t>FOS[SE] - DXR[SE]</t>
  </si>
  <si>
    <t>PMS[SA] - DXR[SA]</t>
  </si>
  <si>
    <t>PMB[PS] - FOS[PS]</t>
  </si>
  <si>
    <t>PUR[SA_ATCC] - AMK[SA_ATCC]</t>
  </si>
  <si>
    <t>PUR[SA] - AMK[SA]</t>
  </si>
  <si>
    <t>CEF[SE] - AMX[SE]</t>
  </si>
  <si>
    <t>CER[SE] - AMX[SE]</t>
  </si>
  <si>
    <t>CFX[SE] - AMX[SE]</t>
  </si>
  <si>
    <t>EGCG[SE] - AMX[SE]</t>
  </si>
  <si>
    <t>ERY[SE] - AMX[SE]</t>
  </si>
  <si>
    <t>CIP[SA] - BAC[SA]</t>
  </si>
  <si>
    <t>DOX[SA] - CCCP[SA]</t>
  </si>
  <si>
    <t>SPI[SA] - CCCP[SA]</t>
  </si>
  <si>
    <t>SPI[SE] - CCCP[SE]</t>
  </si>
  <si>
    <t>THZ[SA] - CCCP[SA]</t>
  </si>
  <si>
    <t>THZ[SE] - CCCP[SE]</t>
  </si>
  <si>
    <t>OFL[SA] - DXR[SA]</t>
  </si>
  <si>
    <t>TMP[SE] - DXR[SE]</t>
  </si>
  <si>
    <t>TMP[SA] - DXR[SA]</t>
  </si>
  <si>
    <t>OFL[SA] - FOS[SA]</t>
  </si>
  <si>
    <t>OFL[PS] - FOS[PS]</t>
  </si>
  <si>
    <t>PHL[SE] - NIT[SE]</t>
  </si>
  <si>
    <t>PHL[SA] - NIT[SA]</t>
  </si>
  <si>
    <t>MOX[SE] - CET[SE]</t>
  </si>
  <si>
    <t>MOX[PS] - CET[PS]</t>
  </si>
  <si>
    <t>GAT[SE] - CET[SE]</t>
  </si>
  <si>
    <t>GAT[PS] - CET[PS]</t>
  </si>
  <si>
    <t>GAT[SA_ATCC] - CFS[SA_ATCC]</t>
  </si>
  <si>
    <t>GAT[PS_ATCC] - CFS[PS_ATCC]</t>
  </si>
  <si>
    <t>GAT[SE] - CFS[SE]</t>
  </si>
  <si>
    <t>GAT[SA] - CFS[SA]</t>
  </si>
  <si>
    <t>GAT[PS] - CFS[PS]</t>
  </si>
  <si>
    <t>MOX[SE] - CFS[SE]</t>
  </si>
  <si>
    <t>MOX[PS] - CFS[PS]</t>
  </si>
  <si>
    <t>OXA[SA] - CFZ[SA]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</si>
</sst>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F37" totalsRowShown="0">
  <autoFilter ref="A1:F37" xr:uid="{00000000-0009-0000-0100-000003000000}"/>
  <tableColumns count="6">
    <tableColumn id="1" xr3:uid="{00000000-0010-0000-0000-000001000000}" name="Drug.combination"/>
    <tableColumn id="2" xr3:uid="{00000000-0010-0000-0000-000002000000}" name="Synergy.score"/>
    <tableColumn id="3" xr3:uid="{00000000-0010-0000-0000-000003000000}" name="Most.synergistic.area.score"/>
    <tableColumn id="4" xr3:uid="{00000000-0010-0000-0000-000004000000}" name="Method"/>
    <tableColumn id="5" xr3:uid="{00000000-0010-0000-0000-000005000000}" name="95% CI"/>
    <tableColumn id="6" xr3:uid="{00000000-0010-0000-0000-000006000000}" name="Weighted.Synergy.sco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topLeftCell="A18" workbookViewId="0">
      <selection activeCell="O2" sqref="O2:Q37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7" x14ac:dyDescent="0.35">
      <c r="A2" t="s">
        <v>6</v>
      </c>
      <c r="B2">
        <v>-3.0009999999999999</v>
      </c>
      <c r="C2">
        <v>7.3959999999999999</v>
      </c>
      <c r="D2" t="s">
        <v>7</v>
      </c>
      <c r="F2">
        <v>-1.4179999999999999</v>
      </c>
      <c r="H2" t="str" cm="1">
        <f t="array" ref="H2:I2">_xlfn.TEXTSPLIT(Table3[[#This Row],[Drug.combination]], " - ")</f>
        <v>FOS[SA]</v>
      </c>
      <c r="I2" t="str">
        <v>DXR[SA]</v>
      </c>
      <c r="J2" t="str" cm="1">
        <f t="array" ref="J2:K2">_xlfn.TEXTSPLIT(H2, "[")</f>
        <v>FOS</v>
      </c>
      <c r="K2" t="str">
        <v>SA]</v>
      </c>
      <c r="L2" t="str" cm="1">
        <f t="array" ref="L2:M2">_xlfn.TEXTSPLIT(I2, "[")</f>
        <v>DXR</v>
      </c>
      <c r="M2" t="str">
        <v>SA]</v>
      </c>
      <c r="O2" t="str">
        <f>LEFT(K2, LEN(K2)-1)</f>
        <v>SA</v>
      </c>
      <c r="P2" t="str">
        <f>_xlfn.TEXTJOIN("-", TRUE, L2, J2)</f>
        <v>DXR-FOS</v>
      </c>
      <c r="Q2">
        <f>Table3[[#This Row],[Synergy.score]]</f>
        <v>-3.0009999999999999</v>
      </c>
    </row>
    <row r="3" spans="1:17" x14ac:dyDescent="0.35">
      <c r="A3" t="s">
        <v>8</v>
      </c>
      <c r="B3">
        <v>0.46300000000000002</v>
      </c>
      <c r="C3">
        <v>10.917</v>
      </c>
      <c r="D3" t="s">
        <v>7</v>
      </c>
      <c r="F3">
        <v>-0.46100000000000002</v>
      </c>
      <c r="H3" t="str" cm="1">
        <f t="array" ref="H3:I3">_xlfn.TEXTSPLIT(Table3[[#This Row],[Drug.combination]], " - ")</f>
        <v>FOS[SE]</v>
      </c>
      <c r="I3" t="str">
        <v>DXR[SE]</v>
      </c>
      <c r="J3" t="str" cm="1">
        <f t="array" ref="J3:K3">_xlfn.TEXTSPLIT(H3, "[")</f>
        <v>FOS</v>
      </c>
      <c r="K3" t="str">
        <v>SE]</v>
      </c>
      <c r="L3" t="str" cm="1">
        <f t="array" ref="L3:M3">_xlfn.TEXTSPLIT(I3, "[")</f>
        <v>DXR</v>
      </c>
      <c r="M3" t="str">
        <v>SE]</v>
      </c>
      <c r="O3" t="str">
        <f t="shared" ref="O3:O37" si="0">LEFT(K3, LEN(K3)-1)</f>
        <v>SE</v>
      </c>
      <c r="P3" t="str">
        <f t="shared" ref="P3:P37" si="1">_xlfn.TEXTJOIN("-", TRUE, L3, J3)</f>
        <v>DXR-FOS</v>
      </c>
      <c r="Q3">
        <f>Table3[[#This Row],[Synergy.score]]</f>
        <v>0.46300000000000002</v>
      </c>
    </row>
    <row r="4" spans="1:17" x14ac:dyDescent="0.35">
      <c r="A4" t="s">
        <v>9</v>
      </c>
      <c r="B4">
        <v>-4.1210000000000004</v>
      </c>
      <c r="C4">
        <v>16.164000000000001</v>
      </c>
      <c r="D4" t="s">
        <v>7</v>
      </c>
      <c r="F4">
        <v>-1.6220000000000001</v>
      </c>
      <c r="H4" t="str" cm="1">
        <f t="array" ref="H4:I4">_xlfn.TEXTSPLIT(Table3[[#This Row],[Drug.combination]], " - ")</f>
        <v>PMS[SA]</v>
      </c>
      <c r="I4" t="str">
        <v>DXR[SA]</v>
      </c>
      <c r="J4" t="str" cm="1">
        <f t="array" ref="J4:K4">_xlfn.TEXTSPLIT(H4, "[")</f>
        <v>PMS</v>
      </c>
      <c r="K4" t="str">
        <v>SA]</v>
      </c>
      <c r="L4" t="str" cm="1">
        <f t="array" ref="L4:M4">_xlfn.TEXTSPLIT(I4, "[")</f>
        <v>DXR</v>
      </c>
      <c r="M4" t="str">
        <v>SA]</v>
      </c>
      <c r="O4" t="str">
        <f t="shared" si="0"/>
        <v>SA</v>
      </c>
      <c r="P4" t="str">
        <f t="shared" si="1"/>
        <v>DXR-PMS</v>
      </c>
      <c r="Q4">
        <f>Table3[[#This Row],[Synergy.score]]</f>
        <v>-4.1210000000000004</v>
      </c>
    </row>
    <row r="5" spans="1:17" x14ac:dyDescent="0.35">
      <c r="A5" t="s">
        <v>10</v>
      </c>
      <c r="B5">
        <v>2.76</v>
      </c>
      <c r="C5">
        <v>20.172000000000001</v>
      </c>
      <c r="D5" t="s">
        <v>7</v>
      </c>
      <c r="F5">
        <v>2.2770000000000001</v>
      </c>
      <c r="H5" t="str" cm="1">
        <f t="array" ref="H5:I5">_xlfn.TEXTSPLIT(Table3[[#This Row],[Drug.combination]], " - ")</f>
        <v>PMB[PS]</v>
      </c>
      <c r="I5" t="str">
        <v>FOS[PS]</v>
      </c>
      <c r="J5" t="str" cm="1">
        <f t="array" ref="J5:K5">_xlfn.TEXTSPLIT(H5, "[")</f>
        <v>PMB</v>
      </c>
      <c r="K5" t="str">
        <v>PS]</v>
      </c>
      <c r="L5" t="str" cm="1">
        <f t="array" ref="L5:M5">_xlfn.TEXTSPLIT(I5, "[")</f>
        <v>FOS</v>
      </c>
      <c r="M5" t="str">
        <v>PS]</v>
      </c>
      <c r="O5" t="str">
        <f t="shared" si="0"/>
        <v>PS</v>
      </c>
      <c r="P5" t="str">
        <f t="shared" si="1"/>
        <v>FOS-PMB</v>
      </c>
      <c r="Q5">
        <f>Table3[[#This Row],[Synergy.score]]</f>
        <v>2.76</v>
      </c>
    </row>
    <row r="6" spans="1:17" x14ac:dyDescent="0.35">
      <c r="A6" t="s">
        <v>11</v>
      </c>
      <c r="B6">
        <v>0.98599999999999999</v>
      </c>
      <c r="C6">
        <v>19.207999999999998</v>
      </c>
      <c r="D6" t="s">
        <v>7</v>
      </c>
      <c r="F6">
        <v>-0.40699999999999997</v>
      </c>
      <c r="H6" t="str" cm="1">
        <f t="array" ref="H6:I6">_xlfn.TEXTSPLIT(Table3[[#This Row],[Drug.combination]], " - ")</f>
        <v>PUR[SA_ATCC]</v>
      </c>
      <c r="I6" t="str">
        <v>AMK[SA_ATCC]</v>
      </c>
      <c r="J6" t="str" cm="1">
        <f t="array" ref="J6:K6">_xlfn.TEXTSPLIT(H6, "[")</f>
        <v>PUR</v>
      </c>
      <c r="K6" t="str">
        <v>SA_ATCC]</v>
      </c>
      <c r="L6" t="str" cm="1">
        <f t="array" ref="L6:M6">_xlfn.TEXTSPLIT(I6, "[")</f>
        <v>AMK</v>
      </c>
      <c r="M6" t="str">
        <v>SA_ATCC]</v>
      </c>
      <c r="O6" t="str">
        <f t="shared" si="0"/>
        <v>SA_ATCC</v>
      </c>
      <c r="P6" t="str">
        <f t="shared" si="1"/>
        <v>AMK-PUR</v>
      </c>
      <c r="Q6">
        <f>Table3[[#This Row],[Synergy.score]]</f>
        <v>0.98599999999999999</v>
      </c>
    </row>
    <row r="7" spans="1:17" x14ac:dyDescent="0.35">
      <c r="A7" t="s">
        <v>12</v>
      </c>
      <c r="B7">
        <v>4.7699999999999996</v>
      </c>
      <c r="C7">
        <v>42.786999999999999</v>
      </c>
      <c r="D7" t="s">
        <v>7</v>
      </c>
      <c r="F7">
        <v>5.032</v>
      </c>
      <c r="H7" t="str" cm="1">
        <f t="array" ref="H7:I7">_xlfn.TEXTSPLIT(Table3[[#This Row],[Drug.combination]], " - ")</f>
        <v>PUR[SA]</v>
      </c>
      <c r="I7" t="str">
        <v>AMK[SA]</v>
      </c>
      <c r="J7" t="str" cm="1">
        <f t="array" ref="J7:K7">_xlfn.TEXTSPLIT(H7, "[")</f>
        <v>PUR</v>
      </c>
      <c r="K7" t="str">
        <v>SA]</v>
      </c>
      <c r="L7" t="str" cm="1">
        <f t="array" ref="L7:M7">_xlfn.TEXTSPLIT(I7, "[")</f>
        <v>AMK</v>
      </c>
      <c r="M7" t="str">
        <v>SA]</v>
      </c>
      <c r="O7" t="str">
        <f t="shared" si="0"/>
        <v>SA</v>
      </c>
      <c r="P7" t="str">
        <f t="shared" si="1"/>
        <v>AMK-PUR</v>
      </c>
      <c r="Q7">
        <f>Table3[[#This Row],[Synergy.score]]</f>
        <v>4.7699999999999996</v>
      </c>
    </row>
    <row r="8" spans="1:17" x14ac:dyDescent="0.35">
      <c r="A8" t="s">
        <v>13</v>
      </c>
      <c r="B8">
        <v>2.7749999999999999</v>
      </c>
      <c r="C8">
        <v>41.374000000000002</v>
      </c>
      <c r="D8" t="s">
        <v>7</v>
      </c>
      <c r="F8">
        <v>1.9019999999999999</v>
      </c>
      <c r="H8" t="str" cm="1">
        <f t="array" ref="H8:I8">_xlfn.TEXTSPLIT(Table3[[#This Row],[Drug.combination]], " - ")</f>
        <v>CEF[SE]</v>
      </c>
      <c r="I8" t="str">
        <v>AMX[SE]</v>
      </c>
      <c r="J8" t="str" cm="1">
        <f t="array" ref="J8:K8">_xlfn.TEXTSPLIT(H8, "[")</f>
        <v>CEF</v>
      </c>
      <c r="K8" t="str">
        <v>SE]</v>
      </c>
      <c r="L8" t="str" cm="1">
        <f t="array" ref="L8:M8">_xlfn.TEXTSPLIT(I8, "[")</f>
        <v>AMX</v>
      </c>
      <c r="M8" t="str">
        <v>SE]</v>
      </c>
      <c r="O8" t="str">
        <f t="shared" si="0"/>
        <v>SE</v>
      </c>
      <c r="P8" t="str">
        <f t="shared" si="1"/>
        <v>AMX-CEF</v>
      </c>
      <c r="Q8">
        <f>Table3[[#This Row],[Synergy.score]]</f>
        <v>2.7749999999999999</v>
      </c>
    </row>
    <row r="9" spans="1:17" x14ac:dyDescent="0.35">
      <c r="A9" t="s">
        <v>14</v>
      </c>
      <c r="B9">
        <v>3.7040000000000002</v>
      </c>
      <c r="C9">
        <v>29.181000000000001</v>
      </c>
      <c r="D9" t="s">
        <v>7</v>
      </c>
      <c r="F9">
        <v>2.7490000000000001</v>
      </c>
      <c r="H9" t="str" cm="1">
        <f t="array" ref="H9:I9">_xlfn.TEXTSPLIT(Table3[[#This Row],[Drug.combination]], " - ")</f>
        <v>CER[SE]</v>
      </c>
      <c r="I9" t="str">
        <v>AMX[SE]</v>
      </c>
      <c r="J9" t="str" cm="1">
        <f t="array" ref="J9:K9">_xlfn.TEXTSPLIT(H9, "[")</f>
        <v>CER</v>
      </c>
      <c r="K9" t="str">
        <v>SE]</v>
      </c>
      <c r="L9" t="str" cm="1">
        <f t="array" ref="L9:M9">_xlfn.TEXTSPLIT(I9, "[")</f>
        <v>AMX</v>
      </c>
      <c r="M9" t="str">
        <v>SE]</v>
      </c>
      <c r="O9" t="str">
        <f t="shared" si="0"/>
        <v>SE</v>
      </c>
      <c r="P9" t="str">
        <f t="shared" si="1"/>
        <v>AMX-CER</v>
      </c>
      <c r="Q9">
        <f>Table3[[#This Row],[Synergy.score]]</f>
        <v>3.7040000000000002</v>
      </c>
    </row>
    <row r="10" spans="1:17" x14ac:dyDescent="0.35">
      <c r="A10" t="s">
        <v>15</v>
      </c>
      <c r="B10">
        <v>8.3070000000000004</v>
      </c>
      <c r="C10">
        <v>42.198999999999998</v>
      </c>
      <c r="D10" t="s">
        <v>7</v>
      </c>
      <c r="F10">
        <v>5.2679999999999998</v>
      </c>
      <c r="H10" t="str" cm="1">
        <f t="array" ref="H10:I10">_xlfn.TEXTSPLIT(Table3[[#This Row],[Drug.combination]], " - ")</f>
        <v>CFX[SE]</v>
      </c>
      <c r="I10" t="str">
        <v>AMX[SE]</v>
      </c>
      <c r="J10" t="str" cm="1">
        <f t="array" ref="J10:K10">_xlfn.TEXTSPLIT(H10, "[")</f>
        <v>CFX</v>
      </c>
      <c r="K10" t="str">
        <v>SE]</v>
      </c>
      <c r="L10" t="str" cm="1">
        <f t="array" ref="L10:M10">_xlfn.TEXTSPLIT(I10, "[")</f>
        <v>AMX</v>
      </c>
      <c r="M10" t="str">
        <v>SE]</v>
      </c>
      <c r="O10" t="str">
        <f t="shared" si="0"/>
        <v>SE</v>
      </c>
      <c r="P10" t="str">
        <f t="shared" si="1"/>
        <v>AMX-CFX</v>
      </c>
      <c r="Q10">
        <f>Table3[[#This Row],[Synergy.score]]</f>
        <v>8.3070000000000004</v>
      </c>
    </row>
    <row r="11" spans="1:17" x14ac:dyDescent="0.35">
      <c r="A11" t="s">
        <v>16</v>
      </c>
      <c r="B11">
        <v>-1.0289999999999999</v>
      </c>
      <c r="C11">
        <v>6.1349999999999998</v>
      </c>
      <c r="D11" t="s">
        <v>7</v>
      </c>
      <c r="F11">
        <v>-0.91200000000000003</v>
      </c>
      <c r="H11" t="str" cm="1">
        <f t="array" ref="H11:I11">_xlfn.TEXTSPLIT(Table3[[#This Row],[Drug.combination]], " - ")</f>
        <v>EGCG[SE]</v>
      </c>
      <c r="I11" t="str">
        <v>AMX[SE]</v>
      </c>
      <c r="J11" t="str" cm="1">
        <f t="array" ref="J11:K11">_xlfn.TEXTSPLIT(H11, "[")</f>
        <v>EGCG</v>
      </c>
      <c r="K11" t="str">
        <v>SE]</v>
      </c>
      <c r="L11" t="str" cm="1">
        <f t="array" ref="L11:M11">_xlfn.TEXTSPLIT(I11, "[")</f>
        <v>AMX</v>
      </c>
      <c r="M11" t="str">
        <v>SE]</v>
      </c>
      <c r="O11" t="str">
        <f t="shared" si="0"/>
        <v>SE</v>
      </c>
      <c r="P11" t="str">
        <f t="shared" si="1"/>
        <v>AMX-EGCG</v>
      </c>
      <c r="Q11">
        <f>Table3[[#This Row],[Synergy.score]]</f>
        <v>-1.0289999999999999</v>
      </c>
    </row>
    <row r="12" spans="1:17" x14ac:dyDescent="0.35">
      <c r="A12" t="s">
        <v>17</v>
      </c>
      <c r="B12">
        <v>11.606</v>
      </c>
      <c r="C12">
        <v>50.994</v>
      </c>
      <c r="D12" t="s">
        <v>7</v>
      </c>
      <c r="F12">
        <v>8.4819999999999993</v>
      </c>
      <c r="H12" t="str" cm="1">
        <f t="array" ref="H12:I12">_xlfn.TEXTSPLIT(Table3[[#This Row],[Drug.combination]], " - ")</f>
        <v>ERY[SE]</v>
      </c>
      <c r="I12" t="str">
        <v>AMX[SE]</v>
      </c>
      <c r="J12" t="str" cm="1">
        <f t="array" ref="J12:K12">_xlfn.TEXTSPLIT(H12, "[")</f>
        <v>ERY</v>
      </c>
      <c r="K12" t="str">
        <v>SE]</v>
      </c>
      <c r="L12" t="str" cm="1">
        <f t="array" ref="L12:M12">_xlfn.TEXTSPLIT(I12, "[")</f>
        <v>AMX</v>
      </c>
      <c r="M12" t="str">
        <v>SE]</v>
      </c>
      <c r="O12" t="str">
        <f t="shared" si="0"/>
        <v>SE</v>
      </c>
      <c r="P12" t="str">
        <f t="shared" si="1"/>
        <v>AMX-ERY</v>
      </c>
      <c r="Q12">
        <f>Table3[[#This Row],[Synergy.score]]</f>
        <v>11.606</v>
      </c>
    </row>
    <row r="13" spans="1:17" x14ac:dyDescent="0.35">
      <c r="A13" t="s">
        <v>18</v>
      </c>
      <c r="B13">
        <v>2.5750000000000002</v>
      </c>
      <c r="C13">
        <v>13.092000000000001</v>
      </c>
      <c r="D13" t="s">
        <v>7</v>
      </c>
      <c r="F13">
        <v>1.5369999999999999</v>
      </c>
      <c r="H13" t="str" cm="1">
        <f t="array" ref="H13:I13">_xlfn.TEXTSPLIT(Table3[[#This Row],[Drug.combination]], " - ")</f>
        <v>CIP[SA]</v>
      </c>
      <c r="I13" t="str">
        <v>BAC[SA]</v>
      </c>
      <c r="J13" t="str" cm="1">
        <f t="array" ref="J13:K13">_xlfn.TEXTSPLIT(H13, "[")</f>
        <v>CIP</v>
      </c>
      <c r="K13" t="str">
        <v>SA]</v>
      </c>
      <c r="L13" t="str" cm="1">
        <f t="array" ref="L13:M13">_xlfn.TEXTSPLIT(I13, "[")</f>
        <v>BAC</v>
      </c>
      <c r="M13" t="str">
        <v>SA]</v>
      </c>
      <c r="O13" t="str">
        <f t="shared" si="0"/>
        <v>SA</v>
      </c>
      <c r="P13" t="str">
        <f t="shared" si="1"/>
        <v>BAC-CIP</v>
      </c>
      <c r="Q13">
        <f>Table3[[#This Row],[Synergy.score]]</f>
        <v>2.5750000000000002</v>
      </c>
    </row>
    <row r="14" spans="1:17" x14ac:dyDescent="0.35">
      <c r="A14" t="s">
        <v>19</v>
      </c>
      <c r="B14">
        <v>3.2069999999999999</v>
      </c>
      <c r="C14">
        <v>15.856</v>
      </c>
      <c r="D14" t="s">
        <v>7</v>
      </c>
      <c r="F14">
        <v>0.90800000000000003</v>
      </c>
      <c r="H14" t="str" cm="1">
        <f t="array" ref="H14:I14">_xlfn.TEXTSPLIT(Table3[[#This Row],[Drug.combination]], " - ")</f>
        <v>DOX[SA]</v>
      </c>
      <c r="I14" t="str">
        <v>CCCP[SA]</v>
      </c>
      <c r="J14" t="str" cm="1">
        <f t="array" ref="J14:K14">_xlfn.TEXTSPLIT(H14, "[")</f>
        <v>DOX</v>
      </c>
      <c r="K14" t="str">
        <v>SA]</v>
      </c>
      <c r="L14" t="str" cm="1">
        <f t="array" ref="L14:M14">_xlfn.TEXTSPLIT(I14, "[")</f>
        <v>CCCP</v>
      </c>
      <c r="M14" t="str">
        <v>SA]</v>
      </c>
      <c r="O14" t="str">
        <f t="shared" si="0"/>
        <v>SA</v>
      </c>
      <c r="P14" t="str">
        <f t="shared" si="1"/>
        <v>CCCP-DOX</v>
      </c>
      <c r="Q14">
        <f>Table3[[#This Row],[Synergy.score]]</f>
        <v>3.2069999999999999</v>
      </c>
    </row>
    <row r="15" spans="1:17" x14ac:dyDescent="0.35">
      <c r="A15" t="s">
        <v>20</v>
      </c>
      <c r="B15">
        <v>5.0519999999999996</v>
      </c>
      <c r="C15">
        <v>26.777999999999999</v>
      </c>
      <c r="D15" t="s">
        <v>7</v>
      </c>
      <c r="F15">
        <v>1.663</v>
      </c>
      <c r="H15" t="str" cm="1">
        <f t="array" ref="H15:I15">_xlfn.TEXTSPLIT(Table3[[#This Row],[Drug.combination]], " - ")</f>
        <v>SPI[SA]</v>
      </c>
      <c r="I15" t="str">
        <v>CCCP[SA]</v>
      </c>
      <c r="J15" t="str" cm="1">
        <f t="array" ref="J15:K15">_xlfn.TEXTSPLIT(H15, "[")</f>
        <v>SPI</v>
      </c>
      <c r="K15" t="str">
        <v>SA]</v>
      </c>
      <c r="L15" t="str" cm="1">
        <f t="array" ref="L15:M15">_xlfn.TEXTSPLIT(I15, "[")</f>
        <v>CCCP</v>
      </c>
      <c r="M15" t="str">
        <v>SA]</v>
      </c>
      <c r="O15" t="str">
        <f t="shared" si="0"/>
        <v>SA</v>
      </c>
      <c r="P15" t="str">
        <f t="shared" si="1"/>
        <v>CCCP-SPI</v>
      </c>
      <c r="Q15">
        <f>Table3[[#This Row],[Synergy.score]]</f>
        <v>5.0519999999999996</v>
      </c>
    </row>
    <row r="16" spans="1:17" x14ac:dyDescent="0.35">
      <c r="A16" t="s">
        <v>21</v>
      </c>
      <c r="B16">
        <v>4.9569999999999999</v>
      </c>
      <c r="C16">
        <v>24.532</v>
      </c>
      <c r="D16" t="s">
        <v>7</v>
      </c>
      <c r="F16">
        <v>1.256</v>
      </c>
      <c r="H16" t="str" cm="1">
        <f t="array" ref="H16:I16">_xlfn.TEXTSPLIT(Table3[[#This Row],[Drug.combination]], " - ")</f>
        <v>SPI[SE]</v>
      </c>
      <c r="I16" t="str">
        <v>CCCP[SE]</v>
      </c>
      <c r="J16" t="str" cm="1">
        <f t="array" ref="J16:K16">_xlfn.TEXTSPLIT(H16, "[")</f>
        <v>SPI</v>
      </c>
      <c r="K16" t="str">
        <v>SE]</v>
      </c>
      <c r="L16" t="str" cm="1">
        <f t="array" ref="L16:M16">_xlfn.TEXTSPLIT(I16, "[")</f>
        <v>CCCP</v>
      </c>
      <c r="M16" t="str">
        <v>SE]</v>
      </c>
      <c r="O16" t="str">
        <f t="shared" si="0"/>
        <v>SE</v>
      </c>
      <c r="P16" t="str">
        <f t="shared" si="1"/>
        <v>CCCP-SPI</v>
      </c>
      <c r="Q16">
        <f>Table3[[#This Row],[Synergy.score]]</f>
        <v>4.9569999999999999</v>
      </c>
    </row>
    <row r="17" spans="1:17" x14ac:dyDescent="0.35">
      <c r="A17" t="s">
        <v>22</v>
      </c>
      <c r="B17">
        <v>5.2779999999999996</v>
      </c>
      <c r="C17">
        <v>23.117999999999999</v>
      </c>
      <c r="D17" t="s">
        <v>7</v>
      </c>
      <c r="F17">
        <v>2.016</v>
      </c>
      <c r="H17" t="str" cm="1">
        <f t="array" ref="H17:I17">_xlfn.TEXTSPLIT(Table3[[#This Row],[Drug.combination]], " - ")</f>
        <v>THZ[SA]</v>
      </c>
      <c r="I17" t="str">
        <v>CCCP[SA]</v>
      </c>
      <c r="J17" t="str" cm="1">
        <f t="array" ref="J17:K17">_xlfn.TEXTSPLIT(H17, "[")</f>
        <v>THZ</v>
      </c>
      <c r="K17" t="str">
        <v>SA]</v>
      </c>
      <c r="L17" t="str" cm="1">
        <f t="array" ref="L17:M17">_xlfn.TEXTSPLIT(I17, "[")</f>
        <v>CCCP</v>
      </c>
      <c r="M17" t="str">
        <v>SA]</v>
      </c>
      <c r="O17" t="str">
        <f t="shared" si="0"/>
        <v>SA</v>
      </c>
      <c r="P17" t="str">
        <f t="shared" si="1"/>
        <v>CCCP-THZ</v>
      </c>
      <c r="Q17">
        <f>Table3[[#This Row],[Synergy.score]]</f>
        <v>5.2779999999999996</v>
      </c>
    </row>
    <row r="18" spans="1:17" x14ac:dyDescent="0.35">
      <c r="A18" t="s">
        <v>23</v>
      </c>
      <c r="B18">
        <v>2.649</v>
      </c>
      <c r="C18">
        <v>20.603999999999999</v>
      </c>
      <c r="D18" t="s">
        <v>7</v>
      </c>
      <c r="F18">
        <v>0.29199999999999998</v>
      </c>
      <c r="H18" t="str" cm="1">
        <f t="array" ref="H18:I18">_xlfn.TEXTSPLIT(Table3[[#This Row],[Drug.combination]], " - ")</f>
        <v>THZ[SE]</v>
      </c>
      <c r="I18" t="str">
        <v>CCCP[SE]</v>
      </c>
      <c r="J18" t="str" cm="1">
        <f t="array" ref="J18:K18">_xlfn.TEXTSPLIT(H18, "[")</f>
        <v>THZ</v>
      </c>
      <c r="K18" t="str">
        <v>SE]</v>
      </c>
      <c r="L18" t="str" cm="1">
        <f t="array" ref="L18:M18">_xlfn.TEXTSPLIT(I18, "[")</f>
        <v>CCCP</v>
      </c>
      <c r="M18" t="str">
        <v>SE]</v>
      </c>
      <c r="O18" t="str">
        <f t="shared" si="0"/>
        <v>SE</v>
      </c>
      <c r="P18" t="str">
        <f t="shared" si="1"/>
        <v>CCCP-THZ</v>
      </c>
      <c r="Q18">
        <f>Table3[[#This Row],[Synergy.score]]</f>
        <v>2.649</v>
      </c>
    </row>
    <row r="19" spans="1:17" x14ac:dyDescent="0.35">
      <c r="A19" t="s">
        <v>24</v>
      </c>
      <c r="B19">
        <v>-0.93100000000000005</v>
      </c>
      <c r="C19">
        <v>4.7160000000000002</v>
      </c>
      <c r="D19" t="s">
        <v>7</v>
      </c>
      <c r="F19">
        <v>-7.0999999999999994E-2</v>
      </c>
      <c r="H19" t="str" cm="1">
        <f t="array" ref="H19:I19">_xlfn.TEXTSPLIT(Table3[[#This Row],[Drug.combination]], " - ")</f>
        <v>OFL[SA]</v>
      </c>
      <c r="I19" t="str">
        <v>DXR[SA]</v>
      </c>
      <c r="J19" t="str" cm="1">
        <f t="array" ref="J19:K19">_xlfn.TEXTSPLIT(H19, "[")</f>
        <v>OFL</v>
      </c>
      <c r="K19" t="str">
        <v>SA]</v>
      </c>
      <c r="L19" t="str" cm="1">
        <f t="array" ref="L19:M19">_xlfn.TEXTSPLIT(I19, "[")</f>
        <v>DXR</v>
      </c>
      <c r="M19" t="str">
        <v>SA]</v>
      </c>
      <c r="O19" t="str">
        <f t="shared" si="0"/>
        <v>SA</v>
      </c>
      <c r="P19" t="str">
        <f t="shared" si="1"/>
        <v>DXR-OFL</v>
      </c>
      <c r="Q19">
        <f>Table3[[#This Row],[Synergy.score]]</f>
        <v>-0.93100000000000005</v>
      </c>
    </row>
    <row r="20" spans="1:17" x14ac:dyDescent="0.35">
      <c r="A20" t="s">
        <v>25</v>
      </c>
      <c r="B20">
        <v>3.4740000000000002</v>
      </c>
      <c r="C20">
        <v>18.09</v>
      </c>
      <c r="D20" t="s">
        <v>7</v>
      </c>
      <c r="F20">
        <v>1.3520000000000001</v>
      </c>
      <c r="H20" t="str" cm="1">
        <f t="array" ref="H20:I20">_xlfn.TEXTSPLIT(Table3[[#This Row],[Drug.combination]], " - ")</f>
        <v>TMP[SE]</v>
      </c>
      <c r="I20" t="str">
        <v>DXR[SE]</v>
      </c>
      <c r="J20" t="str" cm="1">
        <f t="array" ref="J20:K20">_xlfn.TEXTSPLIT(H20, "[")</f>
        <v>TMP</v>
      </c>
      <c r="K20" t="str">
        <v>SE]</v>
      </c>
      <c r="L20" t="str" cm="1">
        <f t="array" ref="L20:M20">_xlfn.TEXTSPLIT(I20, "[")</f>
        <v>DXR</v>
      </c>
      <c r="M20" t="str">
        <v>SE]</v>
      </c>
      <c r="O20" t="str">
        <f t="shared" si="0"/>
        <v>SE</v>
      </c>
      <c r="P20" t="str">
        <f t="shared" si="1"/>
        <v>DXR-TMP</v>
      </c>
      <c r="Q20">
        <f>Table3[[#This Row],[Synergy.score]]</f>
        <v>3.4740000000000002</v>
      </c>
    </row>
    <row r="21" spans="1:17" x14ac:dyDescent="0.35">
      <c r="A21" t="s">
        <v>26</v>
      </c>
      <c r="B21">
        <v>-1.833</v>
      </c>
      <c r="C21">
        <v>12.85</v>
      </c>
      <c r="D21" t="s">
        <v>7</v>
      </c>
      <c r="F21">
        <v>-1.198</v>
      </c>
      <c r="H21" t="str" cm="1">
        <f t="array" ref="H21:I21">_xlfn.TEXTSPLIT(Table3[[#This Row],[Drug.combination]], " - ")</f>
        <v>TMP[SA]</v>
      </c>
      <c r="I21" t="str">
        <v>DXR[SA]</v>
      </c>
      <c r="J21" t="str" cm="1">
        <f t="array" ref="J21:K21">_xlfn.TEXTSPLIT(H21, "[")</f>
        <v>TMP</v>
      </c>
      <c r="K21" t="str">
        <v>SA]</v>
      </c>
      <c r="L21" t="str" cm="1">
        <f t="array" ref="L21:M21">_xlfn.TEXTSPLIT(I21, "[")</f>
        <v>DXR</v>
      </c>
      <c r="M21" t="str">
        <v>SA]</v>
      </c>
      <c r="O21" t="str">
        <f t="shared" si="0"/>
        <v>SA</v>
      </c>
      <c r="P21" t="str">
        <f t="shared" si="1"/>
        <v>DXR-TMP</v>
      </c>
      <c r="Q21">
        <f>Table3[[#This Row],[Synergy.score]]</f>
        <v>-1.833</v>
      </c>
    </row>
    <row r="22" spans="1:17" x14ac:dyDescent="0.35">
      <c r="A22" t="s">
        <v>27</v>
      </c>
      <c r="B22">
        <v>4.0730000000000004</v>
      </c>
      <c r="C22">
        <v>23.521000000000001</v>
      </c>
      <c r="D22" t="s">
        <v>7</v>
      </c>
      <c r="F22">
        <v>1.3919999999999999</v>
      </c>
      <c r="H22" t="str" cm="1">
        <f t="array" ref="H22:I22">_xlfn.TEXTSPLIT(Table3[[#This Row],[Drug.combination]], " - ")</f>
        <v>OFL[SA]</v>
      </c>
      <c r="I22" t="str">
        <v>FOS[SA]</v>
      </c>
      <c r="J22" t="str" cm="1">
        <f t="array" ref="J22:K22">_xlfn.TEXTSPLIT(H22, "[")</f>
        <v>OFL</v>
      </c>
      <c r="K22" t="str">
        <v>SA]</v>
      </c>
      <c r="L22" t="str" cm="1">
        <f t="array" ref="L22:M22">_xlfn.TEXTSPLIT(I22, "[")</f>
        <v>FOS</v>
      </c>
      <c r="M22" t="str">
        <v>SA]</v>
      </c>
      <c r="O22" t="str">
        <f t="shared" si="0"/>
        <v>SA</v>
      </c>
      <c r="P22" t="str">
        <f t="shared" si="1"/>
        <v>FOS-OFL</v>
      </c>
      <c r="Q22">
        <f>Table3[[#This Row],[Synergy.score]]</f>
        <v>4.0730000000000004</v>
      </c>
    </row>
    <row r="23" spans="1:17" x14ac:dyDescent="0.35">
      <c r="A23" t="s">
        <v>28</v>
      </c>
      <c r="B23">
        <v>2.2879999999999998</v>
      </c>
      <c r="C23">
        <v>23.789000000000001</v>
      </c>
      <c r="D23" t="s">
        <v>7</v>
      </c>
      <c r="F23">
        <v>0.55800000000000005</v>
      </c>
      <c r="H23" t="str" cm="1">
        <f t="array" ref="H23:I23">_xlfn.TEXTSPLIT(Table3[[#This Row],[Drug.combination]], " - ")</f>
        <v>OFL[PS]</v>
      </c>
      <c r="I23" t="str">
        <v>FOS[PS]</v>
      </c>
      <c r="J23" t="str" cm="1">
        <f t="array" ref="J23:K23">_xlfn.TEXTSPLIT(H23, "[")</f>
        <v>OFL</v>
      </c>
      <c r="K23" t="str">
        <v>PS]</v>
      </c>
      <c r="L23" t="str" cm="1">
        <f t="array" ref="L23:M23">_xlfn.TEXTSPLIT(I23, "[")</f>
        <v>FOS</v>
      </c>
      <c r="M23" t="str">
        <v>PS]</v>
      </c>
      <c r="O23" t="str">
        <f t="shared" si="0"/>
        <v>PS</v>
      </c>
      <c r="P23" t="str">
        <f t="shared" si="1"/>
        <v>FOS-OFL</v>
      </c>
      <c r="Q23">
        <f>Table3[[#This Row],[Synergy.score]]</f>
        <v>2.2879999999999998</v>
      </c>
    </row>
    <row r="24" spans="1:17" x14ac:dyDescent="0.35">
      <c r="A24" t="s">
        <v>29</v>
      </c>
      <c r="B24">
        <v>-10.221</v>
      </c>
      <c r="C24">
        <v>5.6479999999999997</v>
      </c>
      <c r="D24" t="s">
        <v>7</v>
      </c>
      <c r="F24">
        <v>-10.222</v>
      </c>
      <c r="H24" t="str" cm="1">
        <f t="array" ref="H24:I24">_xlfn.TEXTSPLIT(Table3[[#This Row],[Drug.combination]], " - ")</f>
        <v>PHL[SE]</v>
      </c>
      <c r="I24" t="str">
        <v>NIT[SE]</v>
      </c>
      <c r="J24" t="str" cm="1">
        <f t="array" ref="J24:K24">_xlfn.TEXTSPLIT(H24, "[")</f>
        <v>PHL</v>
      </c>
      <c r="K24" t="str">
        <v>SE]</v>
      </c>
      <c r="L24" t="str" cm="1">
        <f t="array" ref="L24:M24">_xlfn.TEXTSPLIT(I24, "[")</f>
        <v>NIT</v>
      </c>
      <c r="M24" t="str">
        <v>SE]</v>
      </c>
      <c r="O24" t="str">
        <f t="shared" si="0"/>
        <v>SE</v>
      </c>
      <c r="P24" t="str">
        <f t="shared" si="1"/>
        <v>NIT-PHL</v>
      </c>
      <c r="Q24">
        <f>Table3[[#This Row],[Synergy.score]]</f>
        <v>-10.221</v>
      </c>
    </row>
    <row r="25" spans="1:17" x14ac:dyDescent="0.35">
      <c r="A25" t="s">
        <v>30</v>
      </c>
      <c r="B25">
        <v>0.751</v>
      </c>
      <c r="C25">
        <v>17.728999999999999</v>
      </c>
      <c r="D25" t="s">
        <v>7</v>
      </c>
      <c r="F25">
        <v>0.625</v>
      </c>
      <c r="H25" t="str" cm="1">
        <f t="array" ref="H25:I25">_xlfn.TEXTSPLIT(Table3[[#This Row],[Drug.combination]], " - ")</f>
        <v>PHL[SA]</v>
      </c>
      <c r="I25" t="str">
        <v>NIT[SA]</v>
      </c>
      <c r="J25" t="str" cm="1">
        <f t="array" ref="J25:K25">_xlfn.TEXTSPLIT(H25, "[")</f>
        <v>PHL</v>
      </c>
      <c r="K25" t="str">
        <v>SA]</v>
      </c>
      <c r="L25" t="str" cm="1">
        <f t="array" ref="L25:M25">_xlfn.TEXTSPLIT(I25, "[")</f>
        <v>NIT</v>
      </c>
      <c r="M25" t="str">
        <v>SA]</v>
      </c>
      <c r="O25" t="str">
        <f t="shared" si="0"/>
        <v>SA</v>
      </c>
      <c r="P25" t="str">
        <f t="shared" si="1"/>
        <v>NIT-PHL</v>
      </c>
      <c r="Q25">
        <f>Table3[[#This Row],[Synergy.score]]</f>
        <v>0.751</v>
      </c>
    </row>
    <row r="26" spans="1:17" x14ac:dyDescent="0.35">
      <c r="A26" t="s">
        <v>31</v>
      </c>
      <c r="B26">
        <v>3.5129999999999999</v>
      </c>
      <c r="C26">
        <v>35.637999999999998</v>
      </c>
      <c r="D26" t="s">
        <v>7</v>
      </c>
      <c r="F26">
        <v>2.8940000000000001</v>
      </c>
      <c r="H26" t="str" cm="1">
        <f t="array" ref="H26:I26">_xlfn.TEXTSPLIT(Table3[[#This Row],[Drug.combination]], " - ")</f>
        <v>MOX[SE]</v>
      </c>
      <c r="I26" t="str">
        <v>CET[SE]</v>
      </c>
      <c r="J26" t="str" cm="1">
        <f t="array" ref="J26:K26">_xlfn.TEXTSPLIT(H26, "[")</f>
        <v>MOX</v>
      </c>
      <c r="K26" t="str">
        <v>SE]</v>
      </c>
      <c r="L26" t="str" cm="1">
        <f t="array" ref="L26:M26">_xlfn.TEXTSPLIT(I26, "[")</f>
        <v>CET</v>
      </c>
      <c r="M26" t="str">
        <v>SE]</v>
      </c>
      <c r="O26" t="str">
        <f t="shared" si="0"/>
        <v>SE</v>
      </c>
      <c r="P26" t="str">
        <f t="shared" si="1"/>
        <v>CET-MOX</v>
      </c>
      <c r="Q26">
        <f>Table3[[#This Row],[Synergy.score]]</f>
        <v>3.5129999999999999</v>
      </c>
    </row>
    <row r="27" spans="1:17" x14ac:dyDescent="0.35">
      <c r="A27" t="s">
        <v>32</v>
      </c>
      <c r="B27">
        <v>4.569</v>
      </c>
      <c r="C27">
        <v>27.454999999999998</v>
      </c>
      <c r="D27" t="s">
        <v>7</v>
      </c>
      <c r="F27">
        <v>2.0059999999999998</v>
      </c>
      <c r="H27" t="str" cm="1">
        <f t="array" ref="H27:I27">_xlfn.TEXTSPLIT(Table3[[#This Row],[Drug.combination]], " - ")</f>
        <v>MOX[PS]</v>
      </c>
      <c r="I27" t="str">
        <v>CET[PS]</v>
      </c>
      <c r="J27" t="str" cm="1">
        <f t="array" ref="J27:K27">_xlfn.TEXTSPLIT(H27, "[")</f>
        <v>MOX</v>
      </c>
      <c r="K27" t="str">
        <v>PS]</v>
      </c>
      <c r="L27" t="str" cm="1">
        <f t="array" ref="L27:M27">_xlfn.TEXTSPLIT(I27, "[")</f>
        <v>CET</v>
      </c>
      <c r="M27" t="str">
        <v>PS]</v>
      </c>
      <c r="O27" t="str">
        <f t="shared" si="0"/>
        <v>PS</v>
      </c>
      <c r="P27" t="str">
        <f t="shared" si="1"/>
        <v>CET-MOX</v>
      </c>
      <c r="Q27">
        <f>Table3[[#This Row],[Synergy.score]]</f>
        <v>4.569</v>
      </c>
    </row>
    <row r="28" spans="1:17" x14ac:dyDescent="0.35">
      <c r="A28" t="s">
        <v>33</v>
      </c>
      <c r="B28">
        <v>6.4610000000000003</v>
      </c>
      <c r="C28">
        <v>43.396000000000001</v>
      </c>
      <c r="D28" t="s">
        <v>7</v>
      </c>
      <c r="F28">
        <v>4.6479999999999997</v>
      </c>
      <c r="H28" t="str" cm="1">
        <f t="array" ref="H28:I28">_xlfn.TEXTSPLIT(Table3[[#This Row],[Drug.combination]], " - ")</f>
        <v>GAT[SE]</v>
      </c>
      <c r="I28" t="str">
        <v>CET[SE]</v>
      </c>
      <c r="J28" t="str" cm="1">
        <f t="array" ref="J28:K28">_xlfn.TEXTSPLIT(H28, "[")</f>
        <v>GAT</v>
      </c>
      <c r="K28" t="str">
        <v>SE]</v>
      </c>
      <c r="L28" t="str" cm="1">
        <f t="array" ref="L28:M28">_xlfn.TEXTSPLIT(I28, "[")</f>
        <v>CET</v>
      </c>
      <c r="M28" t="str">
        <v>SE]</v>
      </c>
      <c r="O28" t="str">
        <f t="shared" si="0"/>
        <v>SE</v>
      </c>
      <c r="P28" t="str">
        <f t="shared" si="1"/>
        <v>CET-GAT</v>
      </c>
      <c r="Q28">
        <f>Table3[[#This Row],[Synergy.score]]</f>
        <v>6.4610000000000003</v>
      </c>
    </row>
    <row r="29" spans="1:17" x14ac:dyDescent="0.35">
      <c r="A29" t="s">
        <v>34</v>
      </c>
      <c r="B29">
        <v>5.7489999999999997</v>
      </c>
      <c r="C29">
        <v>29.687999999999999</v>
      </c>
      <c r="D29" t="s">
        <v>7</v>
      </c>
      <c r="F29">
        <v>3.222</v>
      </c>
      <c r="H29" t="str" cm="1">
        <f t="array" ref="H29:I29">_xlfn.TEXTSPLIT(Table3[[#This Row],[Drug.combination]], " - ")</f>
        <v>GAT[PS]</v>
      </c>
      <c r="I29" t="str">
        <v>CET[PS]</v>
      </c>
      <c r="J29" t="str" cm="1">
        <f t="array" ref="J29:K29">_xlfn.TEXTSPLIT(H29, "[")</f>
        <v>GAT</v>
      </c>
      <c r="K29" t="str">
        <v>PS]</v>
      </c>
      <c r="L29" t="str" cm="1">
        <f t="array" ref="L29:M29">_xlfn.TEXTSPLIT(I29, "[")</f>
        <v>CET</v>
      </c>
      <c r="M29" t="str">
        <v>PS]</v>
      </c>
      <c r="O29" t="str">
        <f t="shared" si="0"/>
        <v>PS</v>
      </c>
      <c r="P29" t="str">
        <f t="shared" si="1"/>
        <v>CET-GAT</v>
      </c>
      <c r="Q29">
        <f>Table3[[#This Row],[Synergy.score]]</f>
        <v>5.7489999999999997</v>
      </c>
    </row>
    <row r="30" spans="1:17" x14ac:dyDescent="0.35">
      <c r="A30" t="s">
        <v>35</v>
      </c>
      <c r="B30">
        <v>2.09</v>
      </c>
      <c r="C30">
        <v>14.862</v>
      </c>
      <c r="D30" t="s">
        <v>7</v>
      </c>
      <c r="F30">
        <v>1.0329999999999999</v>
      </c>
      <c r="H30" t="str" cm="1">
        <f t="array" ref="H30:I30">_xlfn.TEXTSPLIT(Table3[[#This Row],[Drug.combination]], " - ")</f>
        <v>GAT[SA_ATCC]</v>
      </c>
      <c r="I30" t="str">
        <v>CFS[SA_ATCC]</v>
      </c>
      <c r="J30" t="str" cm="1">
        <f t="array" ref="J30:K30">_xlfn.TEXTSPLIT(H30, "[")</f>
        <v>GAT</v>
      </c>
      <c r="K30" t="str">
        <v>SA_ATCC]</v>
      </c>
      <c r="L30" t="str" cm="1">
        <f t="array" ref="L30:M30">_xlfn.TEXTSPLIT(I30, "[")</f>
        <v>CFS</v>
      </c>
      <c r="M30" t="str">
        <v>SA_ATCC]</v>
      </c>
      <c r="O30" t="str">
        <f t="shared" si="0"/>
        <v>SA_ATCC</v>
      </c>
      <c r="P30" t="str">
        <f t="shared" si="1"/>
        <v>CFS-GAT</v>
      </c>
      <c r="Q30">
        <f>Table3[[#This Row],[Synergy.score]]</f>
        <v>2.09</v>
      </c>
    </row>
    <row r="31" spans="1:17" x14ac:dyDescent="0.35">
      <c r="A31" t="s">
        <v>36</v>
      </c>
      <c r="B31">
        <v>8.0079999999999991</v>
      </c>
      <c r="C31">
        <v>48.802</v>
      </c>
      <c r="D31" t="s">
        <v>7</v>
      </c>
      <c r="F31">
        <v>6.0179999999999998</v>
      </c>
      <c r="H31" t="str" cm="1">
        <f t="array" ref="H31:I31">_xlfn.TEXTSPLIT(Table3[[#This Row],[Drug.combination]], " - ")</f>
        <v>GAT[PS_ATCC]</v>
      </c>
      <c r="I31" t="str">
        <v>CFS[PS_ATCC]</v>
      </c>
      <c r="J31" t="str" cm="1">
        <f t="array" ref="J31:K31">_xlfn.TEXTSPLIT(H31, "[")</f>
        <v>GAT</v>
      </c>
      <c r="K31" t="str">
        <v>PS_ATCC]</v>
      </c>
      <c r="L31" t="str" cm="1">
        <f t="array" ref="L31:M31">_xlfn.TEXTSPLIT(I31, "[")</f>
        <v>CFS</v>
      </c>
      <c r="M31" t="str">
        <v>PS_ATCC]</v>
      </c>
      <c r="O31" t="str">
        <f t="shared" si="0"/>
        <v>PS_ATCC</v>
      </c>
      <c r="P31" t="str">
        <f t="shared" si="1"/>
        <v>CFS-GAT</v>
      </c>
      <c r="Q31">
        <f>Table3[[#This Row],[Synergy.score]]</f>
        <v>8.0079999999999991</v>
      </c>
    </row>
    <row r="32" spans="1:17" x14ac:dyDescent="0.35">
      <c r="A32" t="s">
        <v>37</v>
      </c>
      <c r="B32">
        <v>-10.929</v>
      </c>
      <c r="C32">
        <v>7.2030000000000003</v>
      </c>
      <c r="D32" t="s">
        <v>7</v>
      </c>
      <c r="F32">
        <v>-7.3369999999999997</v>
      </c>
      <c r="H32" t="str" cm="1">
        <f t="array" ref="H32:I32">_xlfn.TEXTSPLIT(Table3[[#This Row],[Drug.combination]], " - ")</f>
        <v>GAT[SE]</v>
      </c>
      <c r="I32" t="str">
        <v>CFS[SE]</v>
      </c>
      <c r="J32" t="str" cm="1">
        <f t="array" ref="J32:K32">_xlfn.TEXTSPLIT(H32, "[")</f>
        <v>GAT</v>
      </c>
      <c r="K32" t="str">
        <v>SE]</v>
      </c>
      <c r="L32" t="str" cm="1">
        <f t="array" ref="L32:M32">_xlfn.TEXTSPLIT(I32, "[")</f>
        <v>CFS</v>
      </c>
      <c r="M32" t="str">
        <v>SE]</v>
      </c>
      <c r="O32" t="str">
        <f t="shared" si="0"/>
        <v>SE</v>
      </c>
      <c r="P32" t="str">
        <f t="shared" si="1"/>
        <v>CFS-GAT</v>
      </c>
      <c r="Q32">
        <f>Table3[[#This Row],[Synergy.score]]</f>
        <v>-10.929</v>
      </c>
    </row>
    <row r="33" spans="1:17" x14ac:dyDescent="0.35">
      <c r="A33" t="s">
        <v>38</v>
      </c>
      <c r="B33">
        <v>1.282</v>
      </c>
      <c r="C33">
        <v>14.268000000000001</v>
      </c>
      <c r="D33" t="s">
        <v>7</v>
      </c>
      <c r="F33">
        <v>1.331</v>
      </c>
      <c r="H33" t="str" cm="1">
        <f t="array" ref="H33:I33">_xlfn.TEXTSPLIT(Table3[[#This Row],[Drug.combination]], " - ")</f>
        <v>GAT[SA]</v>
      </c>
      <c r="I33" t="str">
        <v>CFS[SA]</v>
      </c>
      <c r="J33" t="str" cm="1">
        <f t="array" ref="J33:K33">_xlfn.TEXTSPLIT(H33, "[")</f>
        <v>GAT</v>
      </c>
      <c r="K33" t="str">
        <v>SA]</v>
      </c>
      <c r="L33" t="str" cm="1">
        <f t="array" ref="L33:M33">_xlfn.TEXTSPLIT(I33, "[")</f>
        <v>CFS</v>
      </c>
      <c r="M33" t="str">
        <v>SA]</v>
      </c>
      <c r="O33" t="str">
        <f t="shared" si="0"/>
        <v>SA</v>
      </c>
      <c r="P33" t="str">
        <f t="shared" si="1"/>
        <v>CFS-GAT</v>
      </c>
      <c r="Q33">
        <f>Table3[[#This Row],[Synergy.score]]</f>
        <v>1.282</v>
      </c>
    </row>
    <row r="34" spans="1:17" x14ac:dyDescent="0.35">
      <c r="A34" t="s">
        <v>39</v>
      </c>
      <c r="B34">
        <v>7.165</v>
      </c>
      <c r="C34">
        <v>38.061</v>
      </c>
      <c r="D34" t="s">
        <v>7</v>
      </c>
      <c r="F34">
        <v>4.7640000000000002</v>
      </c>
      <c r="H34" t="str" cm="1">
        <f t="array" ref="H34:I34">_xlfn.TEXTSPLIT(Table3[[#This Row],[Drug.combination]], " - ")</f>
        <v>GAT[PS]</v>
      </c>
      <c r="I34" t="str">
        <v>CFS[PS]</v>
      </c>
      <c r="J34" t="str" cm="1">
        <f t="array" ref="J34:K34">_xlfn.TEXTSPLIT(H34, "[")</f>
        <v>GAT</v>
      </c>
      <c r="K34" t="str">
        <v>PS]</v>
      </c>
      <c r="L34" t="str" cm="1">
        <f t="array" ref="L34:M34">_xlfn.TEXTSPLIT(I34, "[")</f>
        <v>CFS</v>
      </c>
      <c r="M34" t="str">
        <v>PS]</v>
      </c>
      <c r="O34" t="str">
        <f t="shared" si="0"/>
        <v>PS</v>
      </c>
      <c r="P34" t="str">
        <f t="shared" si="1"/>
        <v>CFS-GAT</v>
      </c>
      <c r="Q34">
        <f>Table3[[#This Row],[Synergy.score]]</f>
        <v>7.165</v>
      </c>
    </row>
    <row r="35" spans="1:17" x14ac:dyDescent="0.35">
      <c r="A35" t="s">
        <v>40</v>
      </c>
      <c r="B35">
        <v>2.5859999999999999</v>
      </c>
      <c r="C35">
        <v>23.196000000000002</v>
      </c>
      <c r="D35" t="s">
        <v>7</v>
      </c>
      <c r="F35">
        <v>1.542</v>
      </c>
      <c r="H35" t="str" cm="1">
        <f t="array" ref="H35:I35">_xlfn.TEXTSPLIT(Table3[[#This Row],[Drug.combination]], " - ")</f>
        <v>MOX[SE]</v>
      </c>
      <c r="I35" t="str">
        <v>CFS[SE]</v>
      </c>
      <c r="J35" t="str" cm="1">
        <f t="array" ref="J35:K35">_xlfn.TEXTSPLIT(H35, "[")</f>
        <v>MOX</v>
      </c>
      <c r="K35" t="str">
        <v>SE]</v>
      </c>
      <c r="L35" t="str" cm="1">
        <f t="array" ref="L35:M35">_xlfn.TEXTSPLIT(I35, "[")</f>
        <v>CFS</v>
      </c>
      <c r="M35" t="str">
        <v>SE]</v>
      </c>
      <c r="O35" t="str">
        <f t="shared" si="0"/>
        <v>SE</v>
      </c>
      <c r="P35" t="str">
        <f t="shared" si="1"/>
        <v>CFS-MOX</v>
      </c>
      <c r="Q35">
        <f>Table3[[#This Row],[Synergy.score]]</f>
        <v>2.5859999999999999</v>
      </c>
    </row>
    <row r="36" spans="1:17" x14ac:dyDescent="0.35">
      <c r="A36" t="s">
        <v>41</v>
      </c>
      <c r="B36">
        <v>6.5570000000000004</v>
      </c>
      <c r="C36">
        <v>44.508000000000003</v>
      </c>
      <c r="D36" t="s">
        <v>7</v>
      </c>
      <c r="F36">
        <v>3.996</v>
      </c>
      <c r="H36" t="str" cm="1">
        <f t="array" ref="H36:I36">_xlfn.TEXTSPLIT(Table3[[#This Row],[Drug.combination]], " - ")</f>
        <v>MOX[PS]</v>
      </c>
      <c r="I36" t="str">
        <v>CFS[PS]</v>
      </c>
      <c r="J36" t="str" cm="1">
        <f t="array" ref="J36:K36">_xlfn.TEXTSPLIT(H36, "[")</f>
        <v>MOX</v>
      </c>
      <c r="K36" t="str">
        <v>PS]</v>
      </c>
      <c r="L36" t="str" cm="1">
        <f t="array" ref="L36:M36">_xlfn.TEXTSPLIT(I36, "[")</f>
        <v>CFS</v>
      </c>
      <c r="M36" t="str">
        <v>PS]</v>
      </c>
      <c r="O36" t="str">
        <f t="shared" si="0"/>
        <v>PS</v>
      </c>
      <c r="P36" t="str">
        <f t="shared" si="1"/>
        <v>CFS-MOX</v>
      </c>
      <c r="Q36">
        <f>Table3[[#This Row],[Synergy.score]]</f>
        <v>6.5570000000000004</v>
      </c>
    </row>
    <row r="37" spans="1:17" x14ac:dyDescent="0.35">
      <c r="A37" t="s">
        <v>42</v>
      </c>
      <c r="B37">
        <v>2.9380000000000002</v>
      </c>
      <c r="C37">
        <v>12.057</v>
      </c>
      <c r="D37" t="s">
        <v>7</v>
      </c>
      <c r="F37">
        <v>1.375</v>
      </c>
      <c r="H37" t="str" cm="1">
        <f t="array" ref="H37:I37">_xlfn.TEXTSPLIT(Table3[[#This Row],[Drug.combination]], " - ")</f>
        <v>OXA[SA]</v>
      </c>
      <c r="I37" t="str">
        <v>CFZ[SA]</v>
      </c>
      <c r="J37" t="str" cm="1">
        <f t="array" ref="J37:K37">_xlfn.TEXTSPLIT(H37, "[")</f>
        <v>OXA</v>
      </c>
      <c r="K37" t="str">
        <v>SA]</v>
      </c>
      <c r="L37" t="str" cm="1">
        <f t="array" ref="L37:M37">_xlfn.TEXTSPLIT(I37, "[")</f>
        <v>CFZ</v>
      </c>
      <c r="M37" t="str">
        <v>SA]</v>
      </c>
      <c r="O37" t="str">
        <f t="shared" si="0"/>
        <v>SA</v>
      </c>
      <c r="P37" t="str">
        <f t="shared" si="1"/>
        <v>CFZ-OXA</v>
      </c>
      <c r="Q37">
        <f>Table3[[#This Row],[Synergy.score]]</f>
        <v>2.9380000000000002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Lex Kim</cp:lastModifiedBy>
  <dcterms:created xsi:type="dcterms:W3CDTF">2014-03-07T16:08:25Z</dcterms:created>
  <dcterms:modified xsi:type="dcterms:W3CDTF">2025-02-21T19:27:13Z</dcterms:modified>
</cp:coreProperties>
</file>